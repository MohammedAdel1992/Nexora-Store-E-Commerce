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asures" sheetId="2" state="visible" r:id="rId4"/>
    <sheet name="Model &amp; Rules" sheetId="3" state="visible" r:id="rId5"/>
  </sheets>
  <definedNames>
    <definedName function="false" hidden="true" localSheetId="1" name="_xlnm._FilterDatabase" vbProcedure="false">Measures!$A$4:$L$214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<sst xmlns="http://schemas.openxmlformats.org/spreadsheetml/2006/main" count="2095" uniqueCount="882">
  <si>
    <t xml:space="preserve">NEXORA – Measure Dictionary Summary</t>
  </si>
  <si>
    <t xml:space="preserve">Counts recalculate from the Measures sheet.</t>
  </si>
  <si>
    <t xml:space="preserve">Total measures</t>
  </si>
  <si>
    <t xml:space="preserve">Measures with a reference value</t>
  </si>
  <si>
    <t xml:space="preserve">Folder</t>
  </si>
  <si>
    <t xml:space="preserve">Measures</t>
  </si>
  <si>
    <t xml:space="preserve">Data type</t>
  </si>
  <si>
    <t xml:space="preserve">00 Utilities</t>
  </si>
  <si>
    <t xml:space="preserve">Currency</t>
  </si>
  <si>
    <t xml:space="preserve">01 Sales &amp; Profit</t>
  </si>
  <si>
    <t xml:space="preserve">Whole number</t>
  </si>
  <si>
    <t xml:space="preserve">02 Time Intelligence</t>
  </si>
  <si>
    <t xml:space="preserve">Decimal</t>
  </si>
  <si>
    <t xml:space="preserve">03 KPI Cards</t>
  </si>
  <si>
    <t xml:space="preserve">Percentage</t>
  </si>
  <si>
    <t xml:space="preserve">04 Products &amp; Brands</t>
  </si>
  <si>
    <t xml:space="preserve">Ratio</t>
  </si>
  <si>
    <t xml:space="preserve">05 Customers</t>
  </si>
  <si>
    <t xml:space="preserve">Date</t>
  </si>
  <si>
    <t xml:space="preserve">06 Marketing &amp; Channels</t>
  </si>
  <si>
    <t xml:space="preserve">Text</t>
  </si>
  <si>
    <t xml:space="preserve">07 Operations</t>
  </si>
  <si>
    <t xml:space="preserve">Color (hex)</t>
  </si>
  <si>
    <t xml:space="preserve">08 Customer Experience</t>
  </si>
  <si>
    <t xml:space="preserve">Total</t>
  </si>
  <si>
    <t xml:space="preserve">09 Insights &amp; Titles</t>
  </si>
  <si>
    <t xml:space="preserve">10 Data Quality</t>
  </si>
  <si>
    <t xml:space="preserve">Check (should equal Total measures)</t>
  </si>
  <si>
    <t xml:space="preserve">Delivered TMDL scripts</t>
  </si>
  <si>
    <t xml:space="preserve">Script file</t>
  </si>
  <si>
    <t xml:space="preserve">NEXORA_Customers_Page_Addon.tmdl.txt</t>
  </si>
  <si>
    <t xml:space="preserve">NEXORA_Decision_Page_Addon.tmdl.txt</t>
  </si>
  <si>
    <t xml:space="preserve">NEXORA_Measures_Core.tmdl.txt</t>
  </si>
  <si>
    <t xml:space="preserve">NEXORA_Product_Performance.tmdl.txt</t>
  </si>
  <si>
    <t xml:space="preserve">NEXORA_Products_Page_Addon.tmdl.txt</t>
  </si>
  <si>
    <t xml:space="preserve">chat (single measure)</t>
  </si>
  <si>
    <t xml:space="preserve">How to use: open the Measures sheet, filter by Folder or search a measure name; the DAX formula column can be copied as-is.</t>
  </si>
  <si>
    <t xml:space="preserve">Measures you created yourself in Power BI (for example the KPI visuals' own deltas) are not part of this list.</t>
  </si>
  <si>
    <t xml:space="preserve">Folder names match the Display folders in Power BI's Data pane, so the dictionary mirrors the model.</t>
  </si>
  <si>
    <t xml:space="preserve">NEXORA – DAX Measure Dictionary</t>
  </si>
  <si>
    <t xml:space="preserve">Every measure delivered in the TMDL scripts, grouped by display folder. Use the filter arrows on row 4.</t>
  </si>
  <si>
    <t xml:space="preserve">#</t>
  </si>
  <si>
    <t xml:space="preserve">Subfolder</t>
  </si>
  <si>
    <t xml:space="preserve">Measure</t>
  </si>
  <si>
    <t xml:space="preserve">Description</t>
  </si>
  <si>
    <t xml:space="preserve">DAX formula</t>
  </si>
  <si>
    <t xml:space="preserve">Format string</t>
  </si>
  <si>
    <t xml:space="preserve">Source tables</t>
  </si>
  <si>
    <t xml:space="preserve">Depends on</t>
  </si>
  <si>
    <t xml:space="preserve">Reference value (Year = 2025)</t>
  </si>
  <si>
    <t xml:space="preserve">Data Through Date</t>
  </si>
  <si>
    <t xml:space="preserve">Latest order date in the data, ignoring all filters.</t>
  </si>
  <si>
    <t xml:space="preserve">CALCULATE(MAX(Orders[order_date]), REMOVEFILTERS())</t>
  </si>
  <si>
    <t xml:space="preserve">dd-mmm-yyyy</t>
  </si>
  <si>
    <t xml:space="preserve">Orders</t>
  </si>
  <si>
    <t xml:space="preserve">Data Through Label</t>
  </si>
  <si>
    <t xml:space="preserve">Footer text for the report.</t>
  </si>
  <si>
    <t xml:space="preserve">"Data through " &amp; FORMAT([Data Through Date], "dd mmm yyyy")</t>
  </si>
  <si>
    <t xml:space="preserve">(text)</t>
  </si>
  <si>
    <t xml:space="preserve">Selected Year</t>
  </si>
  <si>
    <t xml:space="preserve">Shows the selected year or All Years.</t>
  </si>
  <si>
    <t xml:space="preserve">IF(HASONEVALUE('Calendar'[Year]), FORMAT(SELECTEDVALUE('Calendar'[Year]), "0"), "All Years")</t>
  </si>
  <si>
    <t xml:space="preserve">Calendar</t>
  </si>
  <si>
    <t xml:space="preserve">Period Label</t>
  </si>
  <si>
    <t xml:space="preserve">Subtitle describing the selected period.</t>
  </si>
  <si>
    <t xml:space="preserve">IF(HASONEVALUE('Calendar'[Year]),
    "Year " &amp; FORMAT(SELECTEDVALUE('Calendar'[Year]), "0"),
    FORMAT(MIN('Calendar'[Date]), "MMM yyyy") &amp; " – " &amp; FORMAT(MAX('Calendar'[Date]), "MMM yyyy"))</t>
  </si>
  <si>
    <t xml:space="preserve">Active Days</t>
  </si>
  <si>
    <t xml:space="preserve">Number of days with at least one valid order.</t>
  </si>
  <si>
    <t xml:space="preserve">CALCULATE(
    DISTINCTCOUNT(Orders[order_date]),
    Orders[order_status] &lt;&gt; "Cancelled",
    Orders[delivery_status] &lt;&gt; "Cancelled"
)</t>
  </si>
  <si>
    <t xml:space="preserve">#,0</t>
  </si>
  <si>
    <t xml:space="preserve">Basket &amp; Averages</t>
  </si>
  <si>
    <t xml:space="preserve">AOV</t>
  </si>
  <si>
    <t xml:space="preserve">Average order value.</t>
  </si>
  <si>
    <t xml:space="preserve">DIVIDE([Net Sales], [Total Orders])</t>
  </si>
  <si>
    <t xml:space="preserve">\$#,0.00</t>
  </si>
  <si>
    <t xml:space="preserve">Net Sales, Total Orders</t>
  </si>
  <si>
    <t xml:space="preserve">Units per Order</t>
  </si>
  <si>
    <t xml:space="preserve">Average number of units in a valid order.</t>
  </si>
  <si>
    <t xml:space="preserve">DIVIDE([Units Sold], [Total Orders])</t>
  </si>
  <si>
    <t xml:space="preserve">0.00</t>
  </si>
  <si>
    <t xml:space="preserve">Units Sold, Total Orders</t>
  </si>
  <si>
    <t xml:space="preserve">Profit per Order</t>
  </si>
  <si>
    <t xml:space="preserve">Average profit earned per valid order.</t>
  </si>
  <si>
    <t xml:space="preserve">DIVIDE([Total Profit], [Total Orders])</t>
  </si>
  <si>
    <t xml:space="preserve">Total Profit, Total Orders</t>
  </si>
  <si>
    <t xml:space="preserve">Avg Selling Price</t>
  </si>
  <si>
    <t xml:space="preserve">Average gross selling price per unit sold.</t>
  </si>
  <si>
    <t xml:space="preserve">DIVIDE([Gross Sales], [Units Sold])</t>
  </si>
  <si>
    <t xml:space="preserve">Gross Sales, Units Sold</t>
  </si>
  <si>
    <t xml:space="preserve">Profit per Unit</t>
  </si>
  <si>
    <t xml:space="preserve">Average profit earned per unit sold.</t>
  </si>
  <si>
    <t xml:space="preserve">DIVIDE([Total Profit], [Units Sold])</t>
  </si>
  <si>
    <t xml:space="preserve">Total Profit, Units Sold</t>
  </si>
  <si>
    <t xml:space="preserve">Core KPIs</t>
  </si>
  <si>
    <t xml:space="preserve">Gross Sales</t>
  </si>
  <si>
    <t xml:space="preserve">Quantity x unit price before discounts, tax and shipping. Cancelled orders excluded.</t>
  </si>
  <si>
    <t xml:space="preserve">CALCULATE(
    SUM(OrderItems[gross_sales]),
    Orders[order_status] &lt;&gt; "Cancelled",
    Orders[delivery_status] &lt;&gt; "Cancelled"
)</t>
  </si>
  <si>
    <t xml:space="preserve">\$#,0</t>
  </si>
  <si>
    <t xml:space="preserve">OrderItems, Orders</t>
  </si>
  <si>
    <t xml:space="preserve">Discount</t>
  </si>
  <si>
    <t xml:space="preserve">Total discount value given.</t>
  </si>
  <si>
    <t xml:space="preserve">CALCULATE(
    SUM(OrderItems[discount_amount]),
    Orders[order_status] &lt;&gt; "Cancelled",
    Orders[delivery_status] &lt;&gt; "Cancelled"
)</t>
  </si>
  <si>
    <t xml:space="preserve">Tax</t>
  </si>
  <si>
    <t xml:space="preserve">Tax charged on valid orders.</t>
  </si>
  <si>
    <t xml:space="preserve">CALCULATE(
    SUM(OrderItems[tax_amount]),
    Orders[order_status] &lt;&gt; "Cancelled",
    Orders[delivery_status] &lt;&gt; "Cancelled"
)</t>
  </si>
  <si>
    <t xml:space="preserve">Shipping Cost</t>
  </si>
  <si>
    <t xml:space="preserve">Shipping cost charged on valid orders.</t>
  </si>
  <si>
    <t xml:space="preserve">CALCULATE(
    SUM(OrderItems[shipping_cost]),
    Orders[order_status] &lt;&gt; "Cancelled",
    Orders[delivery_status] &lt;&gt; "Cancelled"
)</t>
  </si>
  <si>
    <t xml:space="preserve">Net Sales</t>
  </si>
  <si>
    <t xml:space="preserve">Gross - discount + tax + shipping (dataset definition). Cancelled orders excluded.</t>
  </si>
  <si>
    <t xml:space="preserve">CALCULATE(
    SUM(OrderItems[net_sales]),
    Orders[order_status] &lt;&gt; "Cancelled",
    Orders[delivery_status] &lt;&gt; "Cancelled"
)</t>
  </si>
  <si>
    <t xml:space="preserve">Product Cost</t>
  </si>
  <si>
    <t xml:space="preserve">Cost of the goods sold on valid orders.</t>
  </si>
  <si>
    <t xml:space="preserve">CALCULATE(
    SUM(OrderItems[product_cost]),
    Orders[order_status] &lt;&gt; "Cancelled",
    Orders[delivery_status] &lt;&gt; "Cancelled"
)</t>
  </si>
  <si>
    <t xml:space="preserve">Total Profit</t>
  </si>
  <si>
    <t xml:space="preserve">Net sales - product cost - shipping cost (dataset definition).</t>
  </si>
  <si>
    <t xml:space="preserve">CALCULATE(
    SUM(OrderItems[profit]),
    Orders[order_status] &lt;&gt; "Cancelled",
    Orders[delivery_status] &lt;&gt; "Cancelled"
)</t>
  </si>
  <si>
    <t xml:space="preserve">Units Sold</t>
  </si>
  <si>
    <t xml:space="preserve">Total quantity sold on valid orders.</t>
  </si>
  <si>
    <t xml:space="preserve">CALCULATE(
    SUM(OrderItems[quantity]),
    Orders[order_status] &lt;&gt; "Cancelled",
    Orders[delivery_status] &lt;&gt; "Cancelled"
)</t>
  </si>
  <si>
    <t xml:space="preserve">Total Orders</t>
  </si>
  <si>
    <t xml:space="preserve">Distinct valid orders (cancelled excluded).</t>
  </si>
  <si>
    <t xml:space="preserve">CALCULATE(
    DISTINCTCOUNT(OrderItems[order_id]),
    Orders[order_status] &lt;&gt; "Cancelled",
    Orders[delivery_status] &lt;&gt; "Cancelled"
)</t>
  </si>
  <si>
    <t xml:space="preserve">Order Lines</t>
  </si>
  <si>
    <t xml:space="preserve">Number of order line items.</t>
  </si>
  <si>
    <t xml:space="preserve">CALCULATE(
    COUNTROWS(OrderItems),
    Orders[order_status] &lt;&gt; "Cancelled",
    Orders[delivery_status] &lt;&gt; "Cancelled"
)</t>
  </si>
  <si>
    <t xml:space="preserve">Net Revenue</t>
  </si>
  <si>
    <t xml:space="preserve">Gross sales minus discounts (excludes tax and shipping).</t>
  </si>
  <si>
    <t xml:space="preserve">[Gross Sales] - [Discount]</t>
  </si>
  <si>
    <t xml:space="preserve">Gross Sales, Discount</t>
  </si>
  <si>
    <t xml:space="preserve">Merchandise Profit</t>
  </si>
  <si>
    <t xml:space="preserve">Product profit before tax and shipping effects.</t>
  </si>
  <si>
    <t xml:space="preserve">[Net Revenue] - [Product Cost]</t>
  </si>
  <si>
    <t xml:space="preserve">Net Revenue, Product Cost</t>
  </si>
  <si>
    <t xml:space="preserve">Profit Margin %</t>
  </si>
  <si>
    <t xml:space="preserve">Total profit / net sales (same definition as the dataset).</t>
  </si>
  <si>
    <t xml:space="preserve">DIVIDE([Total Profit], [Net Sales])</t>
  </si>
  <si>
    <t xml:space="preserve">0.0%</t>
  </si>
  <si>
    <t xml:space="preserve">Total Profit, Net Sales</t>
  </si>
  <si>
    <t xml:space="preserve">Merchandise Margin %</t>
  </si>
  <si>
    <t xml:space="preserve">Product margin on net revenue, before tax and shipping.</t>
  </si>
  <si>
    <t xml:space="preserve">DIVIDE([Merchandise Profit], [Net Revenue])</t>
  </si>
  <si>
    <t xml:space="preserve">Merchandise Profit, Net Revenue</t>
  </si>
  <si>
    <t xml:space="preserve">Discounts</t>
  </si>
  <si>
    <t xml:space="preserve">Discount %</t>
  </si>
  <si>
    <t xml:space="preserve">Discount value as % of gross sales.</t>
  </si>
  <si>
    <t xml:space="preserve">DIVIDE([Discount], [Gross Sales])</t>
  </si>
  <si>
    <t xml:space="preserve">Discount, Gross Sales</t>
  </si>
  <si>
    <t xml:space="preserve">Avg Line Discount %</t>
  </si>
  <si>
    <t xml:space="preserve">Simple average of the discount percentage across order lines.</t>
  </si>
  <si>
    <t xml:space="preserve">CALCULATE(
    AVERAGE(OrderItems[discount_percentage]),
    Orders[order_status] &lt;&gt; "Cancelled",
    Orders[delivery_status] &lt;&gt; "Cancelled"
)</t>
  </si>
  <si>
    <t xml:space="preserve">High Discount Sales Share %</t>
  </si>
  <si>
    <t xml:space="preserve">Share of net sales on lines discounted 30% or more.</t>
  </si>
  <si>
    <t xml:space="preserve">DIVIDE(CALCULATE([Net Sales], OrderItems[discount_percentage] &gt;= 0.3), [Net Sales])</t>
  </si>
  <si>
    <t xml:space="preserve">OrderItems</t>
  </si>
  <si>
    <t xml:space="preserve">Margin % (Discount &gt;= 30%)</t>
  </si>
  <si>
    <t xml:space="preserve">Profit margin on lines discounted 30% or more.</t>
  </si>
  <si>
    <t xml:space="preserve">DIVIDE(CALCULATE([Total Profit], OrderItems[discount_percentage] &gt;= 0.3), CALCULATE([Net Sales], OrderItems[discount_percentage] &gt;= 0.3))</t>
  </si>
  <si>
    <t xml:space="preserve">Margin % (Discount &lt; 10%)</t>
  </si>
  <si>
    <t xml:space="preserve">Profit margin on lines discounted less than 10%.</t>
  </si>
  <si>
    <t xml:space="preserve">DIVIDE(CALCULATE([Total Profit], OrderItems[discount_percentage] &lt; 0.1), CALCULATE([Net Sales], OrderItems[discount_percentage] &lt; 0.1))</t>
  </si>
  <si>
    <t xml:space="preserve">Margin Erosion from Discounts (pts)</t>
  </si>
  <si>
    <t xml:space="preserve">Margin points lost on heavily discounted lines.</t>
  </si>
  <si>
    <t xml:space="preserve">[Margin % (Discount &lt; 10%)] - [Margin % (Discount &gt;= 30%)]</t>
  </si>
  <si>
    <t xml:space="preserve">Margin % (Discount &lt; 10%), Margin % (Discount &gt;= 30%)</t>
  </si>
  <si>
    <t xml:space="preserve">Order Status</t>
  </si>
  <si>
    <t xml:space="preserve">Net Sales (All Orders)</t>
  </si>
  <si>
    <t xml:space="preserve">Net sales including cancelled orders.</t>
  </si>
  <si>
    <t xml:space="preserve">SUM(OrderItems[net_sales])</t>
  </si>
  <si>
    <t xml:space="preserve">Orders (All Status)</t>
  </si>
  <si>
    <t xml:space="preserve">All orders including cancelled.</t>
  </si>
  <si>
    <t xml:space="preserve">DISTINCTCOUNT(OrderItems[order_id])</t>
  </si>
  <si>
    <t xml:space="preserve">Cancelled Orders</t>
  </si>
  <si>
    <t xml:space="preserve">Orders lost to cancellation: all orders minus valid orders.</t>
  </si>
  <si>
    <t xml:space="preserve">[Orders (All Status)] - [Total Orders]</t>
  </si>
  <si>
    <t xml:space="preserve">Orders (All Status), Total Orders</t>
  </si>
  <si>
    <t xml:space="preserve">Cancelled Sales</t>
  </si>
  <si>
    <t xml:space="preserve">Net sales value of cancelled orders: all-orders net sales minus valid net sales.</t>
  </si>
  <si>
    <t xml:space="preserve">[Net Sales (All Orders)] - [Net Sales]</t>
  </si>
  <si>
    <t xml:space="preserve">Net Sales (All Orders), Net Sales</t>
  </si>
  <si>
    <t xml:space="preserve">Cancellation Rate %</t>
  </si>
  <si>
    <t xml:space="preserve">Cancelled orders as a share of all orders.</t>
  </si>
  <si>
    <t xml:space="preserve">DIVIDE([Cancelled Orders], [Orders (All Status)])</t>
  </si>
  <si>
    <t xml:space="preserve">Cancelled Orders, Orders (All Status)</t>
  </si>
  <si>
    <t xml:space="preserve">Completed Orders</t>
  </si>
  <si>
    <t xml:space="preserve">Orders whose status is Completed.</t>
  </si>
  <si>
    <t xml:space="preserve">CALCULATE(DISTINCTCOUNT(Orders[order_id]), Orders[order_status] = "Completed")</t>
  </si>
  <si>
    <t xml:space="preserve">Pending Orders</t>
  </si>
  <si>
    <t xml:space="preserve">Orders whose status is Pending.</t>
  </si>
  <si>
    <t xml:space="preserve">CALCULATE(DISTINCTCOUNT(Orders[order_id]), Orders[order_status] = "Pending")</t>
  </si>
  <si>
    <t xml:space="preserve">Month over Month</t>
  </si>
  <si>
    <t xml:space="preserve">Net Sales PM</t>
  </si>
  <si>
    <t xml:space="preserve">Net Sales in the previous month.</t>
  </si>
  <si>
    <t xml:space="preserve">CALCULATE([Net Sales], DATEADD('Calendar'[Date], -1, MONTH))</t>
  </si>
  <si>
    <t xml:space="preserve">Net Sales MoM %</t>
  </si>
  <si>
    <t xml:space="preserve">Month-over-month growth of Net Sales.</t>
  </si>
  <si>
    <t xml:space="preserve">DIVIDE([Net Sales] - [Net Sales PM], [Net Sales PM])</t>
  </si>
  <si>
    <t xml:space="preserve">Net Sales, Net Sales PM</t>
  </si>
  <si>
    <t xml:space="preserve">Profit PM</t>
  </si>
  <si>
    <t xml:space="preserve">Profit in the previous month.</t>
  </si>
  <si>
    <t xml:space="preserve">CALCULATE([Total Profit], DATEADD('Calendar'[Date], -1, MONTH))</t>
  </si>
  <si>
    <t xml:space="preserve">Profit MoM %</t>
  </si>
  <si>
    <t xml:space="preserve">Month-over-month growth of Profit.</t>
  </si>
  <si>
    <t xml:space="preserve">DIVIDE([Total Profit] - [Profit PM], [Profit PM])</t>
  </si>
  <si>
    <t xml:space="preserve">Total Profit, Profit PM</t>
  </si>
  <si>
    <t xml:space="preserve">Orders PM</t>
  </si>
  <si>
    <t xml:space="preserve">Orders in the previous month.</t>
  </si>
  <si>
    <t xml:space="preserve">CALCULATE([Total Orders], DATEADD('Calendar'[Date], -1, MONTH))</t>
  </si>
  <si>
    <t xml:space="preserve">Orders MoM %</t>
  </si>
  <si>
    <t xml:space="preserve">Month-over-month growth of Orders.</t>
  </si>
  <si>
    <t xml:space="preserve">DIVIDE([Total Orders] - [Orders PM], [Orders PM])</t>
  </si>
  <si>
    <t xml:space="preserve">Total Orders, Orders PM</t>
  </si>
  <si>
    <t xml:space="preserve">Rolling Windows</t>
  </si>
  <si>
    <t xml:space="preserve">Net Sales 3M Rolling</t>
  </si>
  <si>
    <t xml:space="preserve">Net sales over the three months ending at the last date in the selection.</t>
  </si>
  <si>
    <t xml:space="preserve">CALCULATE([Net Sales], DATESINPERIOD('Calendar'[Date], MAX('Calendar'[Date]), -3, MONTH))</t>
  </si>
  <si>
    <t xml:space="preserve">Net Sales TTM</t>
  </si>
  <si>
    <t xml:space="preserve">Trailing twelve months net sales.</t>
  </si>
  <si>
    <t xml:space="preserve">CALCULATE([Net Sales], DATESINPERIOD('Calendar'[Date], MAX('Calendar'[Date]), -12, MONTH))</t>
  </si>
  <si>
    <t xml:space="preserve">Avg Daily Net Sales</t>
  </si>
  <si>
    <t xml:space="preserve">Net sales divided by the number of days that had at least one valid order.</t>
  </si>
  <si>
    <t xml:space="preserve">DIVIDE([Net Sales], [Active Days])</t>
  </si>
  <si>
    <t xml:space="preserve">Net Sales, Active Days</t>
  </si>
  <si>
    <t xml:space="preserve">Share of Year %</t>
  </si>
  <si>
    <t xml:space="preserve">Each period's share of its year (use with Month on the axis).</t>
  </si>
  <si>
    <t xml:space="preserve">DIVIDE([Net Sales], CALCULATE([Net Sales], ALLEXCEPT('Calendar', 'Calendar'[Year])))</t>
  </si>
  <si>
    <t xml:space="preserve">Running Totals</t>
  </si>
  <si>
    <t xml:space="preserve">Net Sales YTD</t>
  </si>
  <si>
    <t xml:space="preserve">Net sales accumulated from January 1 of the selected year up to the selected date.</t>
  </si>
  <si>
    <t xml:space="preserve">CALCULATE([Net Sales], DATESYTD('Calendar'[Date]))</t>
  </si>
  <si>
    <t xml:space="preserve">Profit YTD</t>
  </si>
  <si>
    <t xml:space="preserve">Profit accumulated from January 1 up to the selected date.</t>
  </si>
  <si>
    <t xml:space="preserve">CALCULATE([Total Profit], DATESYTD('Calendar'[Date]))</t>
  </si>
  <si>
    <t xml:space="preserve">Net Sales LYTD</t>
  </si>
  <si>
    <t xml:space="preserve">Year-to-date net sales for the same period last year.</t>
  </si>
  <si>
    <t xml:space="preserve">CALCULATE([Net Sales], DATESYTD(SAMEPERIODLASTYEAR('Calendar'[Date])))</t>
  </si>
  <si>
    <t xml:space="preserve">YTD vs LYTD %</t>
  </si>
  <si>
    <t xml:space="preserve">Growth of year-to-date net sales against last year's year-to-date.</t>
  </si>
  <si>
    <t xml:space="preserve">DIVIDE([Net Sales YTD] - [Net Sales LYTD], [Net Sales LYTD])</t>
  </si>
  <si>
    <t xml:space="preserve">Net Sales YTD, Net Sales LYTD</t>
  </si>
  <si>
    <t xml:space="preserve">Year over Year</t>
  </si>
  <si>
    <t xml:space="preserve">Net Sales LY</t>
  </si>
  <si>
    <t xml:space="preserve">Net Sales for the same period last year.</t>
  </si>
  <si>
    <t xml:space="preserve">CALCULATE([Net Sales], SAMEPERIODLASTYEAR('Calendar'[Date]))</t>
  </si>
  <si>
    <t xml:space="preserve">Net Sales YoY %</t>
  </si>
  <si>
    <t xml:space="preserve">Year-over-year growth of Net Sales versus the same period last year.</t>
  </si>
  <si>
    <t xml:space="preserve">DIVIDE([Net Sales] - [Net Sales LY], [Net Sales LY])</t>
  </si>
  <si>
    <t xml:space="preserve">Net Sales, Net Sales LY</t>
  </si>
  <si>
    <t xml:space="preserve">Profit LY</t>
  </si>
  <si>
    <t xml:space="preserve">Profit for the same period last year.</t>
  </si>
  <si>
    <t xml:space="preserve">CALCULATE([Total Profit], SAMEPERIODLASTYEAR('Calendar'[Date]))</t>
  </si>
  <si>
    <t xml:space="preserve">Profit YoY %</t>
  </si>
  <si>
    <t xml:space="preserve">Year-over-year growth of Profit versus the same period last year.</t>
  </si>
  <si>
    <t xml:space="preserve">DIVIDE([Total Profit] - [Profit LY], [Profit LY])</t>
  </si>
  <si>
    <t xml:space="preserve">Total Profit, Profit LY</t>
  </si>
  <si>
    <t xml:space="preserve">Orders LY</t>
  </si>
  <si>
    <t xml:space="preserve">Orders for the same period last year.</t>
  </si>
  <si>
    <t xml:space="preserve">CALCULATE([Total Orders], SAMEPERIODLASTYEAR('Calendar'[Date]))</t>
  </si>
  <si>
    <t xml:space="preserve">Orders YoY %</t>
  </si>
  <si>
    <t xml:space="preserve">Year-over-year growth of Orders versus the same period last year.</t>
  </si>
  <si>
    <t xml:space="preserve">DIVIDE([Total Orders] - [Orders LY], [Orders LY])</t>
  </si>
  <si>
    <t xml:space="preserve">Total Orders, Orders LY</t>
  </si>
  <si>
    <t xml:space="preserve">AOV LY</t>
  </si>
  <si>
    <t xml:space="preserve">AOV for the same period last year.</t>
  </si>
  <si>
    <t xml:space="preserve">CALCULATE([AOV], SAMEPERIODLASTYEAR('Calendar'[Date]))</t>
  </si>
  <si>
    <t xml:space="preserve">AOV YoY %</t>
  </si>
  <si>
    <t xml:space="preserve">Year-over-year growth of AOV versus the same period last year.</t>
  </si>
  <si>
    <t xml:space="preserve">DIVIDE([AOV] - [AOV LY], [AOV LY])</t>
  </si>
  <si>
    <t xml:space="preserve">AOV, AOV LY</t>
  </si>
  <si>
    <t xml:space="preserve">Customers LY</t>
  </si>
  <si>
    <t xml:space="preserve">Customers for the same period last year.</t>
  </si>
  <si>
    <t xml:space="preserve">CALCULATE([Active Customers], SAMEPERIODLASTYEAR('Calendar'[Date]))</t>
  </si>
  <si>
    <t xml:space="preserve">Active Customers</t>
  </si>
  <si>
    <t xml:space="preserve">Customers YoY %</t>
  </si>
  <si>
    <t xml:space="preserve">Year-over-year growth of Customers versus the same period last year.</t>
  </si>
  <si>
    <t xml:space="preserve">DIVIDE([Active Customers] - [Customers LY], [Customers LY])</t>
  </si>
  <si>
    <t xml:space="preserve">Active Customers, Customers LY</t>
  </si>
  <si>
    <t xml:space="preserve">Profit Margin LY</t>
  </si>
  <si>
    <t xml:space="preserve">Profit margin for the same period last year.</t>
  </si>
  <si>
    <t xml:space="preserve">CALCULATE([Profit Margin %], SAMEPERIODLASTYEAR('Calendar'[Date]))</t>
  </si>
  <si>
    <t xml:space="preserve">Margin Change (pts)</t>
  </si>
  <si>
    <t xml:space="preserve">Change in profit margin vs last year, in percentage points.</t>
  </si>
  <si>
    <t xml:space="preserve">IF(ISBLANK([Profit Margin LY]), BLANK(), [Profit Margin %] - [Profit Margin LY])</t>
  </si>
  <si>
    <t xml:space="preserve">Profit Margin LY, Profit Margin %</t>
  </si>
  <si>
    <t xml:space="preserve">Colors</t>
  </si>
  <si>
    <t xml:space="preserve">Net Sales Change Color</t>
  </si>
  <si>
    <t xml:space="preserve">Hex colour for conditional formatting of Net Sales change (green up, red down, grey when no prior period).</t>
  </si>
  <si>
    <t xml:space="preserve">IF(ISBLANK([Net Sales YoY %]), "#9297A2", IF([Net Sales YoY %] &gt;= 0, "#22A861", "#E5484D"))</t>
  </si>
  <si>
    <t xml:space="preserve">Profit Change Color</t>
  </si>
  <si>
    <t xml:space="preserve">Hex colour for conditional formatting of Profit change (green up, red down, grey when no prior period).</t>
  </si>
  <si>
    <t xml:space="preserve">IF(ISBLANK([Profit YoY %]), "#9297A2", IF([Profit YoY %] &gt;= 0, "#22A861", "#E5484D"))</t>
  </si>
  <si>
    <t xml:space="preserve">Orders Change Color</t>
  </si>
  <si>
    <t xml:space="preserve">Hex colour for conditional formatting of Orders change (green up, red down, grey when no prior period).</t>
  </si>
  <si>
    <t xml:space="preserve">IF(ISBLANK([Orders YoY %]), "#9297A2", IF([Orders YoY %] &gt;= 0, "#22A861", "#E5484D"))</t>
  </si>
  <si>
    <t xml:space="preserve">AOV Change Color</t>
  </si>
  <si>
    <t xml:space="preserve">Hex colour for conditional formatting of AOV change (green up, red down, grey when no prior period).</t>
  </si>
  <si>
    <t xml:space="preserve">IF(ISBLANK([AOV YoY %]), "#9297A2", IF([AOV YoY %] &gt;= 0, "#22A861", "#E5484D"))</t>
  </si>
  <si>
    <t xml:space="preserve">Customers Change Color</t>
  </si>
  <si>
    <t xml:space="preserve">Hex colour for conditional formatting of Customers change (green up, red down, grey when no prior period).</t>
  </si>
  <si>
    <t xml:space="preserve">IF(ISBLANK([Customers YoY %]), "#9297A2", IF([Customers YoY %] &gt;= 0, "#22A861", "#E5484D"))</t>
  </si>
  <si>
    <t xml:space="preserve">Margin Change Color</t>
  </si>
  <si>
    <t xml:space="preserve">Hex colour for conditional formatting of Margin change (green up, red down, grey when no prior period).</t>
  </si>
  <si>
    <t xml:space="preserve">IF(ISBLANK([Margin Change (pts)]), "#9297A2", IF([Margin Change (pts)] &gt;= 0, "#22A861", "#E5484D"))</t>
  </si>
  <si>
    <t xml:space="preserve">Cancellation Rate Color</t>
  </si>
  <si>
    <t xml:space="preserve">Green up to 5%, amber up to 8%, red above.</t>
  </si>
  <si>
    <t xml:space="preserve">IF([Cancellation Rate %] &lt;= 0.05, "#22A861", IF([Cancellation Rate %] &lt;= 0.08, "#F5A623", "#E5484D"))</t>
  </si>
  <si>
    <t xml:space="preserve">On-Time Delivery Color</t>
  </si>
  <si>
    <t xml:space="preserve">Green from 90%, amber from 80%, red below.</t>
  </si>
  <si>
    <t xml:space="preserve">IF([On-Time Delivery %] &gt;= 0.9, "#22A861", IF([On-Time Delivery %] &gt;= 0.8, "#F5A623", "#E5484D"))</t>
  </si>
  <si>
    <t xml:space="preserve">On-Time Delivery %</t>
  </si>
  <si>
    <t xml:space="preserve">Return Rate Color</t>
  </si>
  <si>
    <t xml:space="preserve">IF([Return Rate %] &lt;= 0.05, "#22A861", IF([Return Rate %] &lt;= 0.08, "#F5A623", "#E5484D"))</t>
  </si>
  <si>
    <t xml:space="preserve">Return Rate %</t>
  </si>
  <si>
    <t xml:space="preserve">Labels</t>
  </si>
  <si>
    <t xml:space="preserve">Net Sales YoY Label</t>
  </si>
  <si>
    <t xml:space="preserve">Card caption such as '▲ 28.98% vs last year' for Net Sales.</t>
  </si>
  <si>
    <t xml:space="preserve">VAR v = [Net Sales YoY %]
RETURN
    IF(ISBLANK(v), "No prior period",
        IF(v &gt;= 0, "▲ ", "▼ ") &amp; FORMAT(ABS(v), "0.0%") &amp; " vs last year")</t>
  </si>
  <si>
    <t xml:space="preserve">Profit YoY Label</t>
  </si>
  <si>
    <t xml:space="preserve">Card caption such as '▲ 28.98% vs last year' for Profit.</t>
  </si>
  <si>
    <t xml:space="preserve">VAR v = [Profit YoY %]
RETURN
    IF(ISBLANK(v), "No prior period",
        IF(v &gt;= 0, "▲ ", "▼ ") &amp; FORMAT(ABS(v), "0.0%") &amp; " vs last year")</t>
  </si>
  <si>
    <t xml:space="preserve">Orders YoY Label</t>
  </si>
  <si>
    <t xml:space="preserve">Card caption such as '▲ 28.98% vs last year' for Orders.</t>
  </si>
  <si>
    <t xml:space="preserve">VAR v = [Orders YoY %]
RETURN
    IF(ISBLANK(v), "No prior period",
        IF(v &gt;= 0, "▲ ", "▼ ") &amp; FORMAT(ABS(v), "0.0%") &amp; " vs last year")</t>
  </si>
  <si>
    <t xml:space="preserve">AOV YoY Label</t>
  </si>
  <si>
    <t xml:space="preserve">Card caption such as '▲ 28.98% vs last year' for AOV.</t>
  </si>
  <si>
    <t xml:space="preserve">VAR v = [AOV YoY %]
RETURN
    IF(ISBLANK(v), "No prior period",
        IF(v &gt;= 0, "▲ ", "▼ ") &amp; FORMAT(ABS(v), "0.0%") &amp; " vs last year")</t>
  </si>
  <si>
    <t xml:space="preserve">Customers YoY Label</t>
  </si>
  <si>
    <t xml:space="preserve">Card caption such as '▲ 28.98% vs last year' for Customers.</t>
  </si>
  <si>
    <t xml:space="preserve">VAR v = [Customers YoY %]
RETURN
    IF(ISBLANK(v), "No prior period",
        IF(v &gt;= 0, "▲ ", "▼ ") &amp; FORMAT(ABS(v), "0.0%") &amp; " vs last year")</t>
  </si>
  <si>
    <t xml:space="preserve">Margin Change Label</t>
  </si>
  <si>
    <t xml:space="preserve">Card caption such as '▲ 0.4 pts vs last year' for the profit margin.</t>
  </si>
  <si>
    <t xml:space="preserve">VAR v = [Margin Change (pts)]
RETURN
    IF(ISBLANK(v), "No prior period",
        IF(v &gt;= 0, "▲ ", "▼ ") &amp; FORMAT(ABS(v) * 100, "0.0") &amp; " pts vs last year")</t>
  </si>
  <si>
    <t xml:space="preserve">Page KPI Labels</t>
  </si>
  <si>
    <t xml:space="preserve">Units LY</t>
  </si>
  <si>
    <t xml:space="preserve">Units for the same period last year.</t>
  </si>
  <si>
    <t xml:space="preserve">CALCULATE([Units Sold], SAMEPERIODLASTYEAR('Calendar'[Date]))</t>
  </si>
  <si>
    <t xml:space="preserve">Units YoY %</t>
  </si>
  <si>
    <t xml:space="preserve">Year-over-year growth of Units versus the same period last year.</t>
  </si>
  <si>
    <t xml:space="preserve">DIVIDE([Units Sold] - [Units LY], [Units LY])</t>
  </si>
  <si>
    <t xml:space="preserve">Units Sold, Units LY</t>
  </si>
  <si>
    <t xml:space="preserve">Units YoY Label</t>
  </si>
  <si>
    <t xml:space="preserve">Card caption such as '▲ 28.98% vs last year' for Units.</t>
  </si>
  <si>
    <t xml:space="preserve">VAR v = [Units YoY %]
RETURN
    IF(ISBLANK(v), "No prior period",
        IF(v &gt;= 0, "▲ ", "▼ ") &amp; FORMAT(ABS(v), "0.0%") &amp; " vs last year")</t>
  </si>
  <si>
    <t xml:space="preserve">Units Change Color</t>
  </si>
  <si>
    <t xml:space="preserve">Hex colour for conditional formatting of Units change (green up, red down, grey when no prior period).</t>
  </si>
  <si>
    <t xml:space="preserve">IF(ISBLANK([Units YoY %]), "#9297A2", IF([Units YoY %] &gt;= 0, "#22A861", "#E5484D"))</t>
  </si>
  <si>
    <t xml:space="preserve">Merchandise Margin LY</t>
  </si>
  <si>
    <t xml:space="preserve">Merchandise Margin for the same period last year.</t>
  </si>
  <si>
    <t xml:space="preserve">CALCULATE([Merchandise Margin %], SAMEPERIODLASTYEAR('Calendar'[Date]))</t>
  </si>
  <si>
    <t xml:space="preserve">Merchandise Margin Change (pts)</t>
  </si>
  <si>
    <t xml:space="preserve">Change in merchandise margin vs last year, in percentage points.</t>
  </si>
  <si>
    <t xml:space="preserve">IF(ISBLANK([Merchandise Margin LY]), BLANK(), [Merchandise Margin %] - [Merchandise Margin LY])</t>
  </si>
  <si>
    <t xml:space="preserve">Merchandise Margin LY, Merchandise Margin %</t>
  </si>
  <si>
    <t xml:space="preserve">Merchandise Margin Change Label</t>
  </si>
  <si>
    <t xml:space="preserve">Card caption such as '▲ 0.3 pts vs last year' for Merchandise Margin.</t>
  </si>
  <si>
    <t xml:space="preserve">VAR v = [Merchandise Margin Change (pts)]
RETURN
    IF(ISBLANK(v), "No prior period",
        IF(v &gt;= 0, "▲ ", "▼ ") &amp; FORMAT(ABS(v) * 100, "0.0") &amp; " pts vs last year")</t>
  </si>
  <si>
    <t xml:space="preserve">Merchandise Margin Change Color</t>
  </si>
  <si>
    <t xml:space="preserve">Hex colour for conditional formatting of Merchandise Margin change (green up, red down, grey when no prior period).</t>
  </si>
  <si>
    <t xml:space="preserve">IF(ISBLANK([Merchandise Margin Change (pts)]), "#9297A2", IF([Merchandise Margin Change (pts)] &gt;= 0, "#22A861", "#E5484D"))</t>
  </si>
  <si>
    <t xml:space="preserve">Discount % LY</t>
  </si>
  <si>
    <t xml:space="preserve">Discount % for the same period last year.</t>
  </si>
  <si>
    <t xml:space="preserve">CALCULATE([Discount %], SAMEPERIODLASTYEAR('Calendar'[Date]))</t>
  </si>
  <si>
    <t xml:space="preserve">Discount Change (pts)</t>
  </si>
  <si>
    <t xml:space="preserve">Change in the discount rate vs last year, in percentage points.</t>
  </si>
  <si>
    <t xml:space="preserve">IF(ISBLANK([Discount % LY]), BLANK(), [Discount %] - [Discount % LY])</t>
  </si>
  <si>
    <t xml:space="preserve">Discount % LY, Discount %</t>
  </si>
  <si>
    <t xml:space="preserve">Discount Change Label</t>
  </si>
  <si>
    <t xml:space="preserve">Card caption such as '▲ 0.3 pts vs last year' for Discount.</t>
  </si>
  <si>
    <t xml:space="preserve">VAR v = [Discount Change (pts)]
RETURN
    IF(ISBLANK(v), "No prior period",
        IF(v &gt;= 0, "▲ ", "▼ ") &amp; FORMAT(ABS(v) * 100, "0.0") &amp; " pts vs last year")</t>
  </si>
  <si>
    <t xml:space="preserve">Discount Change Color</t>
  </si>
  <si>
    <t xml:space="preserve">Inverse logic: a lower discount rate is the good direction.</t>
  </si>
  <si>
    <t xml:space="preserve">IF(ISBLANK([Discount Change (pts)]), "#9297A2", IF([Discount Change (pts)] &lt;= 0, "#22A861", "#E5484D"))</t>
  </si>
  <si>
    <t xml:space="preserve">High Discount Margin Label</t>
  </si>
  <si>
    <t xml:space="preserve">Card caption showing the margin earned on lines discounted 30% or more.</t>
  </si>
  <si>
    <t xml:space="preserve">"Margin on these lines: " &amp; FORMAT([Margin % (Discount &gt;= 30%)], "0.0%")</t>
  </si>
  <si>
    <t xml:space="preserve">Top 10 Products Label</t>
  </si>
  <si>
    <t xml:space="preserve">Card caption showing the net sales of the top 10 products in $M.</t>
  </si>
  <si>
    <t xml:space="preserve">"Top 10 = " &amp; FORMAT([Top 10 Products Net Sales] / 1000000, "$0.00") &amp; "M"</t>
  </si>
  <si>
    <t xml:space="preserve">Top 10 Products Net Sales</t>
  </si>
  <si>
    <t xml:space="preserve">Unprofitable Items Label</t>
  </si>
  <si>
    <t xml:space="preserve">Card caption showing the size of the loss from unprofitable lines.</t>
  </si>
  <si>
    <t xml:space="preserve">"Loss: " &amp; FORMAT(ABS([Loss from Unprofitable Items]), "$#,0")</t>
  </si>
  <si>
    <t xml:space="preserve">Loss from Unprofitable Items</t>
  </si>
  <si>
    <t xml:space="preserve">Performance</t>
  </si>
  <si>
    <t xml:space="preserve">Products Sold</t>
  </si>
  <si>
    <t xml:space="preserve">Number of distinct products sold in valid orders.</t>
  </si>
  <si>
    <t xml:space="preserve">CALCULATE(
    DISTINCTCOUNT(OrderItems[product_id]),
    Orders[order_status] &lt;&gt; "Cancelled",
    Orders[delivery_status] &lt;&gt; "Cancelled"
)</t>
  </si>
  <si>
    <t xml:space="preserve">Catalog Products</t>
  </si>
  <si>
    <t xml:space="preserve">Number of products in the catalogue.</t>
  </si>
  <si>
    <t xml:space="preserve">DISTINCTCOUNT(ProductCatalog[product_id])</t>
  </si>
  <si>
    <t xml:space="preserve">ProductCatalog</t>
  </si>
  <si>
    <t xml:space="preserve">Active Products %</t>
  </si>
  <si>
    <t xml:space="preserve">Share of the catalogue that sold at least once.</t>
  </si>
  <si>
    <t xml:space="preserve">DIVIDE([Products Sold], [Catalog Products])</t>
  </si>
  <si>
    <t xml:space="preserve">Products Sold, Catalog Products</t>
  </si>
  <si>
    <t xml:space="preserve">Avg Product Rating</t>
  </si>
  <si>
    <t xml:space="preserve">Average catalogue rating of products that sold in the selection.</t>
  </si>
  <si>
    <t xml:space="preserve">AVERAGEX(FILTER(ProductCatalog, [Units Sold] &gt; 0), ProductCatalog[product_rating])</t>
  </si>
  <si>
    <t xml:space="preserve">Performance Class</t>
  </si>
  <si>
    <t xml:space="preserve">Product Performance</t>
  </si>
  <si>
    <t xml:space="preserve">Classifies each product by net sales and units relative to the average product in the current selection.</t>
  </si>
  <si>
    <t xml:space="preserve">VAR Sales = [Net Sales]
VAR Units = [Units Sold]
VAR HighFactor = 1.0
VAR SolidFactor = 0.5
VAR PeerProducts = CALCULATE([Products Sold], ALLSELECTED(ProductCatalog))
VAR AvgSales = DIVIDE(CALCULATE([Net Sales], ALLSELECTED(ProductCatalog)), PeerProducts)
VAR AvgUnits = DIVIDE(CALCULATE([Units Sold], ALLSELECTED(ProductCatalog)), PeerProducts)
RETURN
    IF(
        NOT HASONEVALUE(ProductCatalog[product_name]) || ISBLANK(Sales),
        BLANK(),
        SWITCH(
            TRUE(),
            Sales &gt;= AvgSales * HighFactor &amp;&amp; Units &gt;= AvgUnits * HighFactor, "HIGH PERFORMER",
            Sales &gt;= AvgSales * SolidFactor &amp;&amp; Units &gt;= AvgUnits * SolidFactor, "SOLID",
            Sales &lt; AvgSales * SolidFactor &amp;&amp; Units &gt;= AvgUnits * SolidFactor, "HIGH VOLUME / LOW VALUE",
            Sales &gt;= AvgSales * SolidFactor &amp;&amp; Units &lt; AvgUnits * SolidFactor, "HIGH VALUE / LOW VOLUME",
            "LOW PERFORMER"
        )
    )</t>
  </si>
  <si>
    <t xml:space="preserve">Net Sales, Units Sold, Products Sold</t>
  </si>
  <si>
    <t xml:space="preserve">Product Performance Color</t>
  </si>
  <si>
    <t xml:space="preserve">Colour for conditional formatting of Product Performance.</t>
  </si>
  <si>
    <t xml:space="preserve">SWITCH(
    [Product Performance],
    "HIGH PERFORMER", "#C8FF36",
    "SOLID", "#22A861",
    "HIGH VOLUME / LOW VALUE", "#F5A623",
    "HIGH VALUE / LOW VOLUME", "#4DA3FF",
    "LOW PERFORMER", "#E5484D",
    "#9297A2"
)</t>
  </si>
  <si>
    <t xml:space="preserve">Pricing</t>
  </si>
  <si>
    <t xml:space="preserve">Price Realization %</t>
  </si>
  <si>
    <t xml:space="preserve">Actual selling price vs catalogue list price (100% = sold at list).</t>
  </si>
  <si>
    <t xml:space="preserve">DIVIDE(
    [Gross Sales],
    CALCULATE(
        SUMX(OrderItems, OrderItems[quantity] * RELATED(ProductCatalog[unit_price])),
        Orders[order_status] &lt;&gt; "Cancelled",
        Orders[delivery_status] &lt;&gt; "Cancelled"
    )
)</t>
  </si>
  <si>
    <t xml:space="preserve">OrderItems, ProductCatalog, Orders</t>
  </si>
  <si>
    <t xml:space="preserve">Profit Risk</t>
  </si>
  <si>
    <t xml:space="preserve">Loss-Making Products</t>
  </si>
  <si>
    <t xml:space="preserve">Products whose total profit is negative in the selection.</t>
  </si>
  <si>
    <t xml:space="preserve">COUNTROWS(FILTER(ProductCatalog, [Total Profit] &lt; 0))</t>
  </si>
  <si>
    <t xml:space="preserve">Unprofitable Lines</t>
  </si>
  <si>
    <t xml:space="preserve">Order lines with negative profit.</t>
  </si>
  <si>
    <t xml:space="preserve">CALCULATE(
    COUNTROWS(OrderItems),
    OrderItems[profit] &lt; 0,
    Orders[order_status] &lt;&gt; "Cancelled",
    Orders[delivery_status] &lt;&gt; "Cancelled"
)</t>
  </si>
  <si>
    <t xml:space="preserve">Unprofitable Items %</t>
  </si>
  <si>
    <t xml:space="preserve">Share of order lines with negative profit.</t>
  </si>
  <si>
    <t xml:space="preserve">DIVIDE([Unprofitable Lines], [Order Lines])</t>
  </si>
  <si>
    <t xml:space="preserve">Unprofitable Lines, Order Lines</t>
  </si>
  <si>
    <t xml:space="preserve">Total (negative) profit of the loss-making order lines.</t>
  </si>
  <si>
    <t xml:space="preserve">CALCULATE([Total Profit], OrderItems[profit] &lt; 0)</t>
  </si>
  <si>
    <t xml:space="preserve">Ranking &amp; Pareto</t>
  </si>
  <si>
    <t xml:space="preserve">Product Sales Rank</t>
  </si>
  <si>
    <t xml:space="preserve">Rank of a product by net sales within the current selection (1 = best).</t>
  </si>
  <si>
    <t xml:space="preserve">IF(ISBLANK([Net Sales]), BLANK(), RANKX(ALLSELECTED(ProductCatalog[product_name]), [Net Sales], , DESC, Dense))</t>
  </si>
  <si>
    <t xml:space="preserve">Brand Sales Rank</t>
  </si>
  <si>
    <t xml:space="preserve">Rank of a brand by net sales within the current selection.</t>
  </si>
  <si>
    <t xml:space="preserve">IF(ISBLANK([Net Sales]), BLANK(), RANKX(ALLSELECTED(ProductCatalog[brand]), [Net Sales], , DESC, Dense))</t>
  </si>
  <si>
    <t xml:space="preserve">Category Sales Rank</t>
  </si>
  <si>
    <t xml:space="preserve">Rank of a category by net sales within the current selection.</t>
  </si>
  <si>
    <t xml:space="preserve">IF(ISBLANK([Net Sales]), BLANK(), RANKX(ALLSELECTED(ProductCatalog[product_category]), [Net Sales], , DESC, Dense))</t>
  </si>
  <si>
    <t xml:space="preserve">Cumulative Sales %</t>
  </si>
  <si>
    <t xml:space="preserve">Pareto line: use with product_name sorted by Net Sales descending.</t>
  </si>
  <si>
    <t xml:space="preserve">VAR Cur = [Net Sales]
VAR AllProducts = ALLSELECTED(ProductCatalog[product_name])
VAR Total = CALCULATE([Net Sales], ALLSELECTED(ProductCatalog[product_name]))
VAR Cum = SUMX(FILTER(AllProducts, [Net Sales] &gt;= Cur), [Net Sales])
RETURN
    IF(ISBLANK(Cur), BLANK(), DIVIDE(Cum, Total))</t>
  </si>
  <si>
    <t xml:space="preserve">Pareto Class</t>
  </si>
  <si>
    <t xml:space="preserve">A (top 80% of sales), B (next 15%) or C (last 5%) based on cumulative sales share.</t>
  </si>
  <si>
    <t xml:space="preserve">VAR c = [Cumulative Sales %]
RETURN
    IF(ISBLANK(c), BLANK(),
        IF(c &lt;= 0.8, "A - Top 80%", IF(c &lt;= 0.95, "B - Next 15%", "C - Last 5%")))</t>
  </si>
  <si>
    <t xml:space="preserve">Net sales of the 10 best-selling products in the selection.</t>
  </si>
  <si>
    <t xml:space="preserve">CALCULATE([Net Sales], TOPN(10, ALLSELECTED(ProductCatalog[product_name]), [Net Sales], DESC))</t>
  </si>
  <si>
    <t xml:space="preserve">Top 10 Products Share %</t>
  </si>
  <si>
    <t xml:space="preserve">Share of net sales that comes from the top 10 products.</t>
  </si>
  <si>
    <t xml:space="preserve">DIVIDE([Top 10 Products Net Sales], CALCULATE([Net Sales], ALLSELECTED(ProductCatalog[product_name])))</t>
  </si>
  <si>
    <t xml:space="preserve">Top 10 Products Net Sales, Net Sales</t>
  </si>
  <si>
    <t xml:space="preserve">Base &amp; Acquisition</t>
  </si>
  <si>
    <t xml:space="preserve">Customers with at least one valid order in the selection.</t>
  </si>
  <si>
    <t xml:space="preserve">CALCULATE(
    DISTINCTCOUNT(Orders[customer_id]),
    Orders[order_status] &lt;&gt; "Cancelled",
    Orders[delivery_status] &lt;&gt; "Cancelled"
)</t>
  </si>
  <si>
    <t xml:space="preserve">Registered Customers</t>
  </si>
  <si>
    <t xml:space="preserve">Number of customers in the Customers table under the current filters.</t>
  </si>
  <si>
    <t xml:space="preserve">DISTINCTCOUNT(Customers[customer_id])</t>
  </si>
  <si>
    <t xml:space="preserve">Customers</t>
  </si>
  <si>
    <t xml:space="preserve">Customer First Order Date</t>
  </si>
  <si>
    <t xml:space="preserve">Helper: the customer's first valid order, ignoring the date selection.</t>
  </si>
  <si>
    <t xml:space="preserve">CALCULATE(
    MIN(Orders[order_date]),
    REMOVEFILTERS('Calendar'),
    ALLEXCEPT(Orders, Orders[customer_id]),
    Orders[order_status] &lt;&gt; "Cancelled",
    Orders[delivery_status] &lt;&gt; "Cancelled"
)</t>
  </si>
  <si>
    <t xml:space="preserve">Is New Customer</t>
  </si>
  <si>
    <t xml:space="preserve">Helper: 1 when the customer's first order falls in the selected period.</t>
  </si>
  <si>
    <t xml:space="preserve">VAR f = [Customer First Order Date]
RETURN
    IF(f &gt;= MIN('Calendar'[Date]) &amp;&amp; f &lt;= MAX('Calendar'[Date]) &amp;&amp; [Total Orders] &gt; 0, 1, 0)</t>
  </si>
  <si>
    <t xml:space="preserve">0</t>
  </si>
  <si>
    <t xml:space="preserve">Customer First Order Date, Total Orders</t>
  </si>
  <si>
    <t xml:space="preserve">New Customers</t>
  </si>
  <si>
    <t xml:space="preserve">Customers whose first valid order falls in the selected period.</t>
  </si>
  <si>
    <t xml:space="preserve">SUMX(VALUES(Customers[customer_id]), [Is New Customer])</t>
  </si>
  <si>
    <t xml:space="preserve">Returning Customers</t>
  </si>
  <si>
    <t xml:space="preserve">Active customers who are not new in the period (never below zero).</t>
  </si>
  <si>
    <t xml:space="preserve">MAX(0, [Active Customers] - [New Customers])</t>
  </si>
  <si>
    <t xml:space="preserve">Active Customers, New Customers</t>
  </si>
  <si>
    <t xml:space="preserve">New Customer Share %</t>
  </si>
  <si>
    <t xml:space="preserve">New customers as a share of active customers.</t>
  </si>
  <si>
    <t xml:space="preserve">DIVIDE([New Customers], [Active Customers])</t>
  </si>
  <si>
    <t xml:space="preserve">New Customers, Active Customers</t>
  </si>
  <si>
    <t xml:space="preserve">New Customers Label</t>
  </si>
  <si>
    <t xml:space="preserve">Card caption such as '4,867 new = 74% of active'.</t>
  </si>
  <si>
    <t xml:space="preserve">FORMAT([New Customers], "#,0") &amp; " new = " &amp; FORMAT([New Customer Share %], "0%") &amp; " of active"</t>
  </si>
  <si>
    <t xml:space="preserve">New Customers, New Customer Share %</t>
  </si>
  <si>
    <t xml:space="preserve">Repeat Rate Label</t>
  </si>
  <si>
    <t xml:space="preserve">Card caption showing the number of repeat customers.</t>
  </si>
  <si>
    <t xml:space="preserve">FORMAT([Repeat Customers], "#,0") &amp; " repeat customers"</t>
  </si>
  <si>
    <t xml:space="preserve">Repeat Customers</t>
  </si>
  <si>
    <t xml:space="preserve">Avg CAC Label</t>
  </si>
  <si>
    <t xml:space="preserve">Card caption showing the average acquisition cost across all customers.</t>
  </si>
  <si>
    <t xml:space="preserve">"All customers avg: " &amp; FORMAT([Avg CAC], "$0.00")</t>
  </si>
  <si>
    <t xml:space="preserve">Avg CAC</t>
  </si>
  <si>
    <t xml:space="preserve">LTV to CAC Label</t>
  </si>
  <si>
    <t xml:space="preserve">Card caption showing lifetime profit per customer.</t>
  </si>
  <si>
    <t xml:space="preserve">"Lifetime profit per customer: " &amp; FORMAT([Customer Lifetime Profit (Avg)], "$#,0")</t>
  </si>
  <si>
    <t xml:space="preserve">Customer Lifetime Profit (Avg)</t>
  </si>
  <si>
    <t xml:space="preserve">Cohort Retention %</t>
  </si>
  <si>
    <t xml:space="preserve">Use with Customers[Cohort Year] on rows and Calendar[Year] on columns.</t>
  </si>
  <si>
    <t xml:space="preserve">DIVIDE([Active Customers], COUNTROWS(Customers))</t>
  </si>
  <si>
    <t xml:space="preserve">Returning Orders %</t>
  </si>
  <si>
    <t xml:space="preserve">Share of valid orders placed by customers who had ordered before.</t>
  </si>
  <si>
    <t xml:space="preserve">DIVIDE(
    CALCULATE([Total Orders], Orders[customer_type] &lt;&gt; "New"),
    [Total Orders]
)</t>
  </si>
  <si>
    <t xml:space="preserve">Retention</t>
  </si>
  <si>
    <t xml:space="preserve">Customers with more than one valid order in the selection.</t>
  </si>
  <si>
    <t xml:space="preserve">COUNTROWS(FILTER(VALUES(Customers[customer_id]), [Total Orders] &gt; 1))</t>
  </si>
  <si>
    <t xml:space="preserve">Repeat Rate %</t>
  </si>
  <si>
    <t xml:space="preserve">Repeat customers as a share of active customers.</t>
  </si>
  <si>
    <t xml:space="preserve">DIVIDE([Repeat Customers], [Active Customers])</t>
  </si>
  <si>
    <t xml:space="preserve">Repeat Customers, Active Customers</t>
  </si>
  <si>
    <t xml:space="preserve">Orders per Customer</t>
  </si>
  <si>
    <t xml:space="preserve">Valid orders divided by active customers.</t>
  </si>
  <si>
    <t xml:space="preserve">DIVIDE([Total Orders], [Active Customers])</t>
  </si>
  <si>
    <t xml:space="preserve">Total Orders, Active Customers</t>
  </si>
  <si>
    <t xml:space="preserve">Segments</t>
  </si>
  <si>
    <t xml:space="preserve">Premium &amp; VIP Sales Share %</t>
  </si>
  <si>
    <t xml:space="preserve">Share of net sales that comes from Premium and VIP customers.</t>
  </si>
  <si>
    <t xml:space="preserve">DIVIDE(CALCULATE([Net Sales], Customers[customer_segment] IN {"Premium", "VIP"}), [Net Sales])</t>
  </si>
  <si>
    <t xml:space="preserve">Value &amp; CAC</t>
  </si>
  <si>
    <t xml:space="preserve">Revenue per Customer</t>
  </si>
  <si>
    <t xml:space="preserve">Net sales divided by active customers.</t>
  </si>
  <si>
    <t xml:space="preserve">DIVIDE([Net Sales], [Active Customers])</t>
  </si>
  <si>
    <t xml:space="preserve">Net Sales, Active Customers</t>
  </si>
  <si>
    <t xml:space="preserve">Profit per Customer</t>
  </si>
  <si>
    <t xml:space="preserve">Profit divided by active customers.</t>
  </si>
  <si>
    <t xml:space="preserve">DIVIDE([Total Profit], [Active Customers])</t>
  </si>
  <si>
    <t xml:space="preserve">Total Profit, Active Customers</t>
  </si>
  <si>
    <t xml:space="preserve">Customer Lifetime Value (Avg)</t>
  </si>
  <si>
    <t xml:space="preserve">Average all-time net sales per purchasing customer.</t>
  </si>
  <si>
    <t xml:space="preserve">AVERAGEX(VALUES(Customers[customer_id]), CALCULATE([Net Sales], REMOVEFILTERS('Calendar')))</t>
  </si>
  <si>
    <t xml:space="preserve">Average all-time profit per purchasing customer.</t>
  </si>
  <si>
    <t xml:space="preserve">AVERAGEX(VALUES(Customers[customer_id]), CALCULATE([Total Profit], REMOVEFILTERS('Calendar')))</t>
  </si>
  <si>
    <t xml:space="preserve">Average acquisition cost across customers in the selection.</t>
  </si>
  <si>
    <t xml:space="preserve">AVERAGE(Customers[customer_acquisition_cost])</t>
  </si>
  <si>
    <t xml:space="preserve">New Customers Acquisition Cost</t>
  </si>
  <si>
    <t xml:space="preserve">Total acquisition cost of customers acquired in the period.</t>
  </si>
  <si>
    <t xml:space="preserve">SUMX(VALUES(Customers[customer_id]), [Is New Customer] * CALCULATE(MAX(Customers[customer_acquisition_cost])))</t>
  </si>
  <si>
    <t xml:space="preserve">Avg CAC (New Customers)</t>
  </si>
  <si>
    <t xml:space="preserve">Average acquisition cost of customers acquired in the period.</t>
  </si>
  <si>
    <t xml:space="preserve">DIVIDE([New Customers Acquisition Cost], [New Customers])</t>
  </si>
  <si>
    <t xml:space="preserve">New Customers Acquisition Cost, New Customers</t>
  </si>
  <si>
    <t xml:space="preserve">LTV to CAC Ratio</t>
  </si>
  <si>
    <t xml:space="preserve">Lifetime profit per customer divided by CAC. Above 3x is healthy.</t>
  </si>
  <si>
    <t xml:space="preserve">DIVIDE([Customer Lifetime Profit (Avg)], [Avg CAC])</t>
  </si>
  <si>
    <t xml:space="preserve">0.0"x"</t>
  </si>
  <si>
    <t xml:space="preserve">Customer Lifetime Profit (Avg), Avg CAC</t>
  </si>
  <si>
    <t xml:space="preserve">Channels</t>
  </si>
  <si>
    <t xml:space="preserve">Mobile App Share %</t>
  </si>
  <si>
    <t xml:space="preserve">Share of net sales placed through the mobile app.</t>
  </si>
  <si>
    <t xml:space="preserve">DIVIDE(CALCULATE([Net Sales], Orders[sales_channel] = "Mobile App"), [Net Sales])</t>
  </si>
  <si>
    <t xml:space="preserve">Paid Channels Sales Share %</t>
  </si>
  <si>
    <t xml:space="preserve">Share of net sales from Paid Search, Social Media and YouTube.</t>
  </si>
  <si>
    <t xml:space="preserve">DIVIDE(CALCULATE([Net Sales], Orders[marketing_channel] IN {"Paid Search", "Social Media", "YouTube"}), [Net Sales])</t>
  </si>
  <si>
    <t xml:space="preserve">Coupons &amp; Campaigns</t>
  </si>
  <si>
    <t xml:space="preserve">Orders with Coupon</t>
  </si>
  <si>
    <t xml:space="preserve">Valid orders that used a coupon code.</t>
  </si>
  <si>
    <t xml:space="preserve">CALCULATE(
    DISTINCTCOUNT(OrderItems[order_id]),
    Orders[coupon_code] &lt;&gt; "",
    Orders[order_status] &lt;&gt; "Cancelled",
    Orders[delivery_status] &lt;&gt; "Cancelled"
)</t>
  </si>
  <si>
    <t xml:space="preserve">Coupon Usage %</t>
  </si>
  <si>
    <t xml:space="preserve">Share of valid orders that used a coupon.</t>
  </si>
  <si>
    <t xml:space="preserve">DIVIDE([Orders with Coupon], [Total Orders])</t>
  </si>
  <si>
    <t xml:space="preserve">Orders with Coupon, Total Orders</t>
  </si>
  <si>
    <t xml:space="preserve">Coupon Discount Value</t>
  </si>
  <si>
    <t xml:space="preserve">Discount value given on orders that used a coupon.</t>
  </si>
  <si>
    <t xml:space="preserve">CALCULATE([Discount], Orders[coupon_code] &lt;&gt; "")</t>
  </si>
  <si>
    <t xml:space="preserve">Coupon Net Sales</t>
  </si>
  <si>
    <t xml:space="preserve">Net sales of orders that used a coupon.</t>
  </si>
  <si>
    <t xml:space="preserve">CALCULATE([Net Sales], Orders[coupon_code] &lt;&gt; "")</t>
  </si>
  <si>
    <t xml:space="preserve">Coupon AOV</t>
  </si>
  <si>
    <t xml:space="preserve">Average order value of coupon orders.</t>
  </si>
  <si>
    <t xml:space="preserve">DIVIDE([Coupon Net Sales], [Orders with Coupon])</t>
  </si>
  <si>
    <t xml:space="preserve">Coupon Net Sales, Orders with Coupon</t>
  </si>
  <si>
    <t xml:space="preserve">No-Coupon AOV</t>
  </si>
  <si>
    <t xml:space="preserve">Average order value of orders without a coupon.</t>
  </si>
  <si>
    <t xml:space="preserve">DIVIDE(CALCULATE([Net Sales], Orders[coupon_code] = ""), [Total Orders] - [Orders with Coupon])</t>
  </si>
  <si>
    <t xml:space="preserve">Net Sales, Total Orders, Orders with Coupon</t>
  </si>
  <si>
    <t xml:space="preserve">Campaign Sales Share %</t>
  </si>
  <si>
    <t xml:space="preserve">Share of net sales that came through a named campaign (not Default_Campaign).</t>
  </si>
  <si>
    <t xml:space="preserve">DIVIDE(CALCULATE([Net Sales], Orders[campaign_name] &lt;&gt; "Default_Campaign"), [Net Sales])</t>
  </si>
  <si>
    <t xml:space="preserve">Loyalty</t>
  </si>
  <si>
    <t xml:space="preserve">Loyalty Points Earned</t>
  </si>
  <si>
    <t xml:space="preserve">Loyalty points earned by customers.</t>
  </si>
  <si>
    <t xml:space="preserve">SUM(Orders[loyalty_points_earned])</t>
  </si>
  <si>
    <t xml:space="preserve">Loyalty Points Redeemed</t>
  </si>
  <si>
    <t xml:space="preserve">Loyalty points redeemed by customers.</t>
  </si>
  <si>
    <t xml:space="preserve">SUM(Orders[loyalty_points_redeemed])</t>
  </si>
  <si>
    <t xml:space="preserve">Points Redemption Rate %</t>
  </si>
  <si>
    <t xml:space="preserve">Redeemed points as a share of earned points.</t>
  </si>
  <si>
    <t xml:space="preserve">DIVIDE([Loyalty Points Redeemed], [Loyalty Points Earned])</t>
  </si>
  <si>
    <t xml:space="preserve">Loyalty Points Redeemed, Loyalty Points Earned</t>
  </si>
  <si>
    <t xml:space="preserve">Delivery</t>
  </si>
  <si>
    <t xml:space="preserve">Delivered Orders</t>
  </si>
  <si>
    <t xml:space="preserve">Orders with a delivery status of On Time or Delayed.</t>
  </si>
  <si>
    <t xml:space="preserve">CALCULATE(DISTINCTCOUNT(Orders[order_id]), Orders[delivery_status] IN {"On Time", "Delayed"})</t>
  </si>
  <si>
    <t xml:space="preserve">On-Time Orders</t>
  </si>
  <si>
    <t xml:space="preserve">Delivered orders that arrived on time.</t>
  </si>
  <si>
    <t xml:space="preserve">CALCULATE(DISTINCTCOUNT(Orders[order_id]), Orders[delivery_status] = "On Time")</t>
  </si>
  <si>
    <t xml:space="preserve">Delayed Orders</t>
  </si>
  <si>
    <t xml:space="preserve">Delivered orders that arrived late.</t>
  </si>
  <si>
    <t xml:space="preserve">CALCULATE(DISTINCTCOUNT(Orders[order_id]), Orders[delivery_status] = "Delayed")</t>
  </si>
  <si>
    <t xml:space="preserve">On-time orders as a share of delivered orders.</t>
  </si>
  <si>
    <t xml:space="preserve">DIVIDE([On-Time Orders], [Delivered Orders])</t>
  </si>
  <si>
    <t xml:space="preserve">On-Time Orders, Delivered Orders</t>
  </si>
  <si>
    <t xml:space="preserve">Delayed Delivery %</t>
  </si>
  <si>
    <t xml:space="preserve">Delayed orders as a share of delivered orders.</t>
  </si>
  <si>
    <t xml:space="preserve">DIVIDE([Delayed Orders], [Delivered Orders])</t>
  </si>
  <si>
    <t xml:space="preserve">Delayed Orders, Delivered Orders</t>
  </si>
  <si>
    <t xml:space="preserve">Avg Delivery Days</t>
  </si>
  <si>
    <t xml:space="preserve">Average actual delivery time in days.</t>
  </si>
  <si>
    <t xml:space="preserve">AVERAGE(Orders[delivery_days])</t>
  </si>
  <si>
    <t xml:space="preserve">0.0</t>
  </si>
  <si>
    <t xml:space="preserve">Avg Delay (Days)</t>
  </si>
  <si>
    <t xml:space="preserve">Average number of days late, for delayed orders only.</t>
  </si>
  <si>
    <t xml:space="preserve">AVERAGEX(FILTER(Orders, Orders[delivery_status] = "Delayed"), Orders[delivery_days] - Orders[estimated_delivery_days])</t>
  </si>
  <si>
    <t xml:space="preserve">Returns</t>
  </si>
  <si>
    <t xml:space="preserve">Returned Orders</t>
  </si>
  <si>
    <t xml:space="preserve">Orders with a return status (Returned or Refunded).</t>
  </si>
  <si>
    <t xml:space="preserve">CALCULATE(DISTINCTCOUNT(Orders[order_id]), Orders[return_status] &lt;&gt; "")</t>
  </si>
  <si>
    <t xml:space="preserve">Returned orders as a share of delivered orders.</t>
  </si>
  <si>
    <t xml:space="preserve">DIVIDE([Returned Orders], [Delivered Orders])</t>
  </si>
  <si>
    <t xml:space="preserve">Returned Orders, Delivered Orders</t>
  </si>
  <si>
    <t xml:space="preserve">Returned Sales</t>
  </si>
  <si>
    <t xml:space="preserve">Net sales value of returned orders.</t>
  </si>
  <si>
    <t xml:space="preserve">CALCULATE([Net Sales], Orders[return_status] &lt;&gt; "")</t>
  </si>
  <si>
    <t xml:space="preserve">Returned Sales %</t>
  </si>
  <si>
    <t xml:space="preserve">Returned sales as a share of net sales.</t>
  </si>
  <si>
    <t xml:space="preserve">DIVIDE([Returned Sales], [Net Sales])</t>
  </si>
  <si>
    <t xml:space="preserve">Returned Sales, Net Sales</t>
  </si>
  <si>
    <t xml:space="preserve">Shipping &amp; Payment</t>
  </si>
  <si>
    <t xml:space="preserve">Avg Shipping Cost per Order</t>
  </si>
  <si>
    <t xml:space="preserve">Shipping cost divided by valid orders.</t>
  </si>
  <si>
    <t xml:space="preserve">DIVIDE([Shipping Cost], [Total Orders])</t>
  </si>
  <si>
    <t xml:space="preserve">Shipping Cost, Total Orders</t>
  </si>
  <si>
    <t xml:space="preserve">Shipping Cost % of Sales</t>
  </si>
  <si>
    <t xml:space="preserve">Shipping cost as a share of net sales.</t>
  </si>
  <si>
    <t xml:space="preserve">DIVIDE([Shipping Cost], [Net Sales])</t>
  </si>
  <si>
    <t xml:space="preserve">Shipping Cost, Net Sales</t>
  </si>
  <si>
    <t xml:space="preserve">Paid Orders %</t>
  </si>
  <si>
    <t xml:space="preserve">Orders with payment status Paid as a share of all orders.</t>
  </si>
  <si>
    <t xml:space="preserve">DIVIDE(CALCULATE(DISTINCTCOUNT(Orders[order_id]), Orders[payment_status] = "Paid"), DISTINCTCOUNT(Orders[order_id]))</t>
  </si>
  <si>
    <t xml:space="preserve">Failed Payments</t>
  </si>
  <si>
    <t xml:space="preserve">Orders whose payment failed.</t>
  </si>
  <si>
    <t xml:space="preserve">CALCULATE(DISTINCTCOUNT(Orders[order_id]), Orders[payment_status] = "Failed")</t>
  </si>
  <si>
    <t xml:space="preserve">Avg Customer Rating</t>
  </si>
  <si>
    <t xml:space="preserve">Average customer rating (1 to 5) of rated orders.</t>
  </si>
  <si>
    <t xml:space="preserve">AVERAGE(Orders[customer_rating])</t>
  </si>
  <si>
    <t xml:space="preserve">Reviewed Orders</t>
  </si>
  <si>
    <t xml:space="preserve">Orders that have a review. KEEPFILTERS lets it work with review_sentiment on a visual axis.</t>
  </si>
  <si>
    <t xml:space="preserve">CALCULATE(
    DISTINCTCOUNT(Orders[order_id]),
    KEEPFILTERS(Orders[review_sentiment] &lt;&gt; "")
)</t>
  </si>
  <si>
    <t xml:space="preserve">Positive Reviews %</t>
  </si>
  <si>
    <t xml:space="preserve">Positive reviews as a share of reviewed orders.</t>
  </si>
  <si>
    <t xml:space="preserve">DIVIDE(CALCULATE(DISTINCTCOUNT(Orders[order_id]), Orders[review_sentiment] = "Positive"), [Reviewed Orders])</t>
  </si>
  <si>
    <t xml:space="preserve">Neutral Reviews %</t>
  </si>
  <si>
    <t xml:space="preserve">Neutral reviews as a share of reviewed orders.</t>
  </si>
  <si>
    <t xml:space="preserve">DIVIDE(CALCULATE(DISTINCTCOUNT(Orders[order_id]), Orders[review_sentiment] = "Neutral"), [Reviewed Orders])</t>
  </si>
  <si>
    <t xml:space="preserve">Negative Reviews %</t>
  </si>
  <si>
    <t xml:space="preserve">Negative reviews as a share of reviewed orders.</t>
  </si>
  <si>
    <t xml:space="preserve">DIVIDE(CALCULATE(DISTINCTCOUNT(Orders[order_id]), Orders[review_sentiment] = "Negative"), [Reviewed Orders])</t>
  </si>
  <si>
    <t xml:space="preserve">Net Sentiment Score</t>
  </si>
  <si>
    <t xml:space="preserve">Positive share minus negative share.</t>
  </si>
  <si>
    <t xml:space="preserve">[Positive Reviews %] - [Negative Reviews %]</t>
  </si>
  <si>
    <t xml:space="preserve">Positive Reviews %, Negative Reviews %</t>
  </si>
  <si>
    <t xml:space="preserve">CSAT %</t>
  </si>
  <si>
    <t xml:space="preserve">Share of rated orders with a rating of 4 or more.</t>
  </si>
  <si>
    <t xml:space="preserve">DIVIDE(CALCULATE(DISTINCTCOUNT(Orders[order_id]), Orders[customer_rating] &gt;= 4), CALCULATE(DISTINCTCOUNT(Orders[order_id]), Orders[customer_rating] &gt; 0))</t>
  </si>
  <si>
    <t xml:space="preserve">Avg Rating (On-Time)</t>
  </si>
  <si>
    <t xml:space="preserve">Average rating of on-time orders.</t>
  </si>
  <si>
    <t xml:space="preserve">CALCULATE(AVERAGE(Orders[customer_rating]), Orders[delivery_status] = "On Time")</t>
  </si>
  <si>
    <t xml:space="preserve">Avg Rating (Delayed)</t>
  </si>
  <si>
    <t xml:space="preserve">Average rating of delayed orders.</t>
  </si>
  <si>
    <t xml:space="preserve">CALCULATE(AVERAGE(Orders[customer_rating]), Orders[delivery_status] = "Delayed")</t>
  </si>
  <si>
    <t xml:space="preserve">Rating Gap (On-Time vs Delayed)</t>
  </si>
  <si>
    <t xml:space="preserve">How much a late delivery costs in rating points.</t>
  </si>
  <si>
    <t xml:space="preserve">[Avg Rating (On-Time)] - [Avg Rating (Delayed)]</t>
  </si>
  <si>
    <t xml:space="preserve">Avg Rating (On-Time), Avg Rating (Delayed)</t>
  </si>
  <si>
    <t xml:space="preserve">Decision Page</t>
  </si>
  <si>
    <t xml:space="preserve">Electronics Sales Share %</t>
  </si>
  <si>
    <t xml:space="preserve">Share of net sales that comes from Electronics.</t>
  </si>
  <si>
    <t xml:space="preserve">DIVIDE(CALCULATE([Net Sales], ProductCatalog[product_category] = "Electronics"), [Net Sales])</t>
  </si>
  <si>
    <t xml:space="preserve">Electronics Margin %</t>
  </si>
  <si>
    <t xml:space="preserve">Profit margin of the Electronics category.</t>
  </si>
  <si>
    <t xml:space="preserve">CALCULATE([Profit Margin %], ProductCatalog[product_category] = "Electronics")</t>
  </si>
  <si>
    <t xml:space="preserve">Nov-Dec On-Time %</t>
  </si>
  <si>
    <t xml:space="preserve">On-time delivery rate in November and December.</t>
  </si>
  <si>
    <t xml:space="preserve">CALCULATE([On-Time Delivery %], 'Calendar'[Month No] IN {11, 12})</t>
  </si>
  <si>
    <t xml:space="preserve">Jan-Oct On-Time %</t>
  </si>
  <si>
    <t xml:space="preserve">On-time delivery rate from January to October.</t>
  </si>
  <si>
    <t xml:space="preserve">CALCULATE([On-Time Delivery %], 'Calendar'[Month No] &lt;= 10)</t>
  </si>
  <si>
    <t xml:space="preserve">Controllable Returns %</t>
  </si>
  <si>
    <t xml:space="preserve">Returns caused by wrong item, description mismatch or defects.</t>
  </si>
  <si>
    <t xml:space="preserve">DIVIDE(CALCULATE([Returned Orders], Orders[return_reason] IN {"Wrong Item Received", "Not as Described", "Defective Product"}), [Returned Orders])</t>
  </si>
  <si>
    <t xml:space="preserve">Return Rate (Delayed) %</t>
  </si>
  <si>
    <t xml:space="preserve">Share of delayed orders that were returned.</t>
  </si>
  <si>
    <t xml:space="preserve">DIVIDE(CALCULATE([Returned Orders], Orders[delivery_status] = "Delayed"), [Delayed Orders])</t>
  </si>
  <si>
    <t xml:space="preserve">Returned Orders, Delayed Orders</t>
  </si>
  <si>
    <t xml:space="preserve">Return Rate (On-Time) %</t>
  </si>
  <si>
    <t xml:space="preserve">Share of on-time orders that were returned.</t>
  </si>
  <si>
    <t xml:space="preserve">DIVIDE(CALCULATE([Returned Orders], Orders[delivery_status] = "On Time"), [On-Time Orders])</t>
  </si>
  <si>
    <t xml:space="preserve">Returned Orders, On-Time Orders</t>
  </si>
  <si>
    <t xml:space="preserve">VIP Revenue per Customer</t>
  </si>
  <si>
    <t xml:space="preserve">Net sales per active VIP customer.</t>
  </si>
  <si>
    <t xml:space="preserve">CALCULATE([Revenue per Customer], Customers[customer_segment] = "VIP")</t>
  </si>
  <si>
    <t xml:space="preserve">Consumer Revenue per Customer</t>
  </si>
  <si>
    <t xml:space="preserve">Net sales per active Consumer customer.</t>
  </si>
  <si>
    <t xml:space="preserve">CALCULATE([Revenue per Customer], Customers[customer_segment] = "Consumer")</t>
  </si>
  <si>
    <t xml:space="preserve">Coupon AOV Gap %</t>
  </si>
  <si>
    <t xml:space="preserve">How much lower (or higher) coupon order value is than non-coupon order value.</t>
  </si>
  <si>
    <t xml:space="preserve">DIVIDE([Coupon AOV] - [No-Coupon AOV], [No-Coupon AOV])</t>
  </si>
  <si>
    <t xml:space="preserve">Coupon AOV, No-Coupon AOV</t>
  </si>
  <si>
    <t xml:space="preserve">Insight - Discounts</t>
  </si>
  <si>
    <t xml:space="preserve">Dynamic sentence for the Key Insights page (Discounts).</t>
  </si>
  <si>
    <t xml:space="preserve">"Lines discounted 30%+ are " &amp; FORMAT([High Discount Sales Share %], "0.0%")
    &amp; " of sales but earn only " &amp; FORMAT([Margin % (Discount &gt;= 30%)], "0.0%")
    &amp; " margin (vs " &amp; FORMAT([Margin % (Discount &lt; 10%)], "0.0%") &amp; " below 10%)."</t>
  </si>
  <si>
    <t xml:space="preserve">High Discount Sales Share %, Margin % (Discount &gt;= 30%), Margin % (Discount &lt; 10%)</t>
  </si>
  <si>
    <t xml:space="preserve">Insight - Category Margin</t>
  </si>
  <si>
    <t xml:space="preserve">Dynamic sentence for the Key Insights page (Category Margin).</t>
  </si>
  <si>
    <t xml:space="preserve">"Electronics is " &amp; FORMAT([Electronics Sales Share %], "0.0%") &amp; " of sales but earns only " &amp; FORMAT([Electronics Margin %], "0.0%") &amp; " margin."</t>
  </si>
  <si>
    <t xml:space="preserve">Electronics Sales Share %, Electronics Margin %</t>
  </si>
  <si>
    <t xml:space="preserve">Insight - Peak Delivery</t>
  </si>
  <si>
    <t xml:space="preserve">Dynamic sentence for the Key Insights page (Peak Delivery).</t>
  </si>
  <si>
    <t xml:space="preserve">"On-time delivery drops to " &amp; FORMAT([Nov-Dec On-Time %], "0.0%") &amp; " in Nov-Dec vs " &amp; FORMAT([Jan-Oct On-Time %], "0.0%") &amp; " in Jan-Oct."</t>
  </si>
  <si>
    <t xml:space="preserve">Nov-Dec On-Time %, Jan-Oct On-Time %</t>
  </si>
  <si>
    <t xml:space="preserve">Insight - Delay Impact</t>
  </si>
  <si>
    <t xml:space="preserve">Dynamic sentence for the Key Insights page (Delay Impact).</t>
  </si>
  <si>
    <t xml:space="preserve">"Delayed orders are returned " &amp; FORMAT([Return Rate (Delayed) %], "0.0%")
    &amp; " of the time vs " &amp; FORMAT([Return Rate (On-Time) %], "0.0%")
    &amp; " when on time, and rated " &amp; FORMAT([Rating Gap (On-Time vs Delayed)], "0.0") &amp; " points lower."</t>
  </si>
  <si>
    <t xml:space="preserve">Return Rate (Delayed) %, Return Rate (On-Time) %, Rating Gap (On-Time vs Delayed)</t>
  </si>
  <si>
    <t xml:space="preserve">Insight - Returns</t>
  </si>
  <si>
    <t xml:space="preserve">Dynamic sentence for the Key Insights page (Returns).</t>
  </si>
  <si>
    <t xml:space="preserve">FORMAT([Controllable Returns %], "0%") &amp; " of returns are controllable (wrong item, not as described, defective)."</t>
  </si>
  <si>
    <t xml:space="preserve">Insight - VIP</t>
  </si>
  <si>
    <t xml:space="preserve">Dynamic sentence for the Key Insights page (VIP).</t>
  </si>
  <si>
    <t xml:space="preserve">"VIP customers spend " &amp; FORMAT([VIP Revenue per Customer], "$#,0") &amp; " each vs " &amp; FORMAT([Consumer Revenue per Customer], "$#,0") &amp; " for Consumers."</t>
  </si>
  <si>
    <t xml:space="preserve">VIP Revenue per Customer, Consumer Revenue per Customer</t>
  </si>
  <si>
    <t xml:space="preserve">Insight - Coupons</t>
  </si>
  <si>
    <t xml:space="preserve">Dynamic sentence for the Key Insights page (Coupons).</t>
  </si>
  <si>
    <t xml:space="preserve">"Coupon orders average " &amp; FORMAT([Coupon AOV], "$#,0") &amp; " vs " &amp; FORMAT([No-Coupon AOV], "$#,0") &amp; " without a coupon (" &amp; FORMAT([Coupon AOV Gap %], "+0.0%;-0.0%") &amp; ")."</t>
  </si>
  <si>
    <t xml:space="preserve">Coupon AOV, No-Coupon AOV, Coupon AOV Gap %</t>
  </si>
  <si>
    <t xml:space="preserve">Dynamic Titles</t>
  </si>
  <si>
    <t xml:space="preserve">Title - Sales Trend</t>
  </si>
  <si>
    <t xml:space="preserve">Dynamic chart title for the sales trend visual.</t>
  </si>
  <si>
    <t xml:space="preserve">"Net Sales &amp; Profit  |  " &amp; [Period Label]</t>
  </si>
  <si>
    <t xml:space="preserve">Title - Top Categories</t>
  </si>
  <si>
    <t xml:space="preserve">Dynamic chart title for the top categories visual.</t>
  </si>
  <si>
    <t xml:space="preserve">"Net Sales by Category  |  Top: " &amp; [Top Category]</t>
  </si>
  <si>
    <t xml:space="preserve">Top Category</t>
  </si>
  <si>
    <t xml:space="preserve">Title - Delivery</t>
  </si>
  <si>
    <t xml:space="preserve">Dynamic chart title for the delivery visual.</t>
  </si>
  <si>
    <t xml:space="preserve">"Delivery Performance  |  On-time " &amp; FORMAT([On-Time Delivery %], "0.0%")</t>
  </si>
  <si>
    <t xml:space="preserve">Top &amp; Bottom Performers</t>
  </si>
  <si>
    <t xml:space="preserve">Name of the category with the highest net sales in the selection.</t>
  </si>
  <si>
    <t xml:space="preserve">VAR t = TOPN(1, ALLSELECTED(ProductCatalog[product_category]), [Net Sales], DESC)
RETURN
    MAXX(t, ProductCatalog[product_category])</t>
  </si>
  <si>
    <t xml:space="preserve">Top Brand</t>
  </si>
  <si>
    <t xml:space="preserve">Name of the brand with the highest net sales in the selection.</t>
  </si>
  <si>
    <t xml:space="preserve">VAR t = TOPN(1, ALLSELECTED(ProductCatalog[brand]), [Net Sales], DESC)
RETURN
    MAXX(t, ProductCatalog[brand])</t>
  </si>
  <si>
    <t xml:space="preserve">Top Country</t>
  </si>
  <si>
    <t xml:space="preserve">Name of the country with the highest net sales in the selection.</t>
  </si>
  <si>
    <t xml:space="preserve">VAR t = TOPN(1, ALLSELECTED(Customers[customer_country]), [Net Sales], DESC)
RETURN
    MAXX(t, Customers[customer_country])</t>
  </si>
  <si>
    <t xml:space="preserve">Top Sales Channel</t>
  </si>
  <si>
    <t xml:space="preserve">Name of the sales channel with the highest net sales in the selection.</t>
  </si>
  <si>
    <t xml:space="preserve">VAR t = TOPN(1, ALLSELECTED(Orders[sales_channel]), [Net Sales], DESC)
RETURN
    MAXX(t, Orders[sales_channel])</t>
  </si>
  <si>
    <t xml:space="preserve">Best Margin Category</t>
  </si>
  <si>
    <t xml:space="preserve">Name of the category with the highest profit margin in the selection.</t>
  </si>
  <si>
    <t xml:space="preserve">VAR t = TOPN(1, ALLSELECTED(ProductCatalog[product_category]), [Profit Margin %], DESC)
RETURN
    MAXX(t, ProductCatalog[product_category])</t>
  </si>
  <si>
    <t xml:space="preserve">Lowest Margin Category</t>
  </si>
  <si>
    <t xml:space="preserve">Name of the category with the lowest profit margin in the selection.</t>
  </si>
  <si>
    <t xml:space="preserve">VAR t = TOPN(1, ALLSELECTED(ProductCatalog[product_category]), [Profit Margin %], ASC)
RETURN
    MAXX(t, ProductCatalog[product_category])</t>
  </si>
  <si>
    <t xml:space="preserve">Peak Month</t>
  </si>
  <si>
    <t xml:space="preserve">Name of the month with the highest net sales in the selection.</t>
  </si>
  <si>
    <t xml:space="preserve">VAR t = TOPN(1, ALLSELECTED('Calendar'[Month], 'Calendar'[Month No]), [Net Sales], DESC)
RETURN
    MAXX(t, 'Calendar'[Month])</t>
  </si>
  <si>
    <t xml:space="preserve">Checks Failing (should be 0)</t>
  </si>
  <si>
    <t xml:space="preserve">Number of failed data checks. Shows 0 when the model is healthy.</t>
  </si>
  <si>
    <t xml:space="preserve">IF([Orphan Order Lines] &gt; 0, 1, 0)
    + IF([Orders Without Lines] &gt; 0, 1, 0)
    + IF([Orphan Products] &gt; 0, 1, 0)
    + IF([Orphan Customers] &gt; 0, 1, 0)
    + IF([Duplicate Order Lines] &gt; 0, 1, 0)
    + IF([Lines Failing Arithmetic] &gt; 0, 1, 0)
    + IF(ABS([Check - Net Sales (Orders vs Items)]) &gt; 0.5, 1, 0)
    + IF([Check - Quantity (Orders vs Items)] &lt;&gt; 0, 1, 0)
    + IF(ABS([Check - Profit (Orders vs Items)]) &gt; 0.5, 1, 0)</t>
  </si>
  <si>
    <t xml:space="preserve">Orphan Order Lines, Orders Without Lines, Orphan Products, Orphan Customers, Duplicate Order Lines, Lines Failing Arithmetic, Check - Net Sales (Orders vs Items), Check - Quantity (Orders vs Items), Check - Profit (Orders vs Items)</t>
  </si>
  <si>
    <t xml:space="preserve">Integrity (should be 0)</t>
  </si>
  <si>
    <t xml:space="preserve">Orphan Order Lines</t>
  </si>
  <si>
    <t xml:space="preserve">Order IDs in OrderItems that do not exist in Orders.</t>
  </si>
  <si>
    <t xml:space="preserve">COUNTROWS(EXCEPT(VALUES(OrderItems[order_id]), VALUES(Orders[order_id])))</t>
  </si>
  <si>
    <t xml:space="preserve">Orders Without Lines</t>
  </si>
  <si>
    <t xml:space="preserve">Orders that have no line items.</t>
  </si>
  <si>
    <t xml:space="preserve">COUNTROWS(EXCEPT(VALUES(Orders[order_id]), VALUES(OrderItems[order_id])))</t>
  </si>
  <si>
    <t xml:space="preserve">Orders, OrderItems</t>
  </si>
  <si>
    <t xml:space="preserve">Orphan Products</t>
  </si>
  <si>
    <t xml:space="preserve">Sold products missing from the catalogue.</t>
  </si>
  <si>
    <t xml:space="preserve">COUNTROWS(EXCEPT(VALUES(OrderItems[product_id]), VALUES(ProductCatalog[product_id])))</t>
  </si>
  <si>
    <t xml:space="preserve">OrderItems, ProductCatalog</t>
  </si>
  <si>
    <t xml:space="preserve">Orphan Customers</t>
  </si>
  <si>
    <t xml:space="preserve">Order customers missing from Customers.</t>
  </si>
  <si>
    <t xml:space="preserve">COUNTROWS(EXCEPT(VALUES(Orders[customer_id]), VALUES(Customers[customer_id])))</t>
  </si>
  <si>
    <t xml:space="preserve">Orders, Customers</t>
  </si>
  <si>
    <t xml:space="preserve">Duplicate Order Lines</t>
  </si>
  <si>
    <t xml:space="preserve">Repeated order_id + product_id pairs.</t>
  </si>
  <si>
    <t xml:space="preserve">COUNTROWS(OrderItems) - COUNTROWS(SUMMARIZE(OrderItems, OrderItems[order_id], OrderItems[product_id]))</t>
  </si>
  <si>
    <t xml:space="preserve">Logic (should be 0)</t>
  </si>
  <si>
    <t xml:space="preserve">Lines Failing Arithmetic</t>
  </si>
  <si>
    <t xml:space="preserve">Lines where gross, net or profit do not follow the dataset formulas.</t>
  </si>
  <si>
    <t xml:space="preserve">COUNTROWS(
    FILTER(
        OrderItems,
        ABS(OrderItems[gross_sales] - OrderItems[quantity] * OrderItems[unit_price]) &gt; 0.05
            || ABS(OrderItems[net_sales] - (OrderItems[gross_sales] - OrderItems[discount_amount] + OrderItems[tax_amount] + OrderItems[shipping_cost])) &gt; 0.05
            || ABS(OrderItems[profit] - (OrderItems[net_sales] - OrderItems[product_cost] - OrderItems[shipping_cost])) &gt; 0.05
    )
)</t>
  </si>
  <si>
    <t xml:space="preserve">Reconciliation (should be 0)</t>
  </si>
  <si>
    <t xml:space="preserve">Check - Net Sales (Orders vs Items)</t>
  </si>
  <si>
    <t xml:space="preserve">Orders-level net sales minus the sum of its order lines.</t>
  </si>
  <si>
    <t xml:space="preserve">ROUND(SUM(Orders[net_sales]) - SUM(OrderItems[net_sales]), 2)</t>
  </si>
  <si>
    <t xml:space="preserve">#,0.00</t>
  </si>
  <si>
    <t xml:space="preserve">Check - Quantity (Orders vs Items)</t>
  </si>
  <si>
    <t xml:space="preserve">Orders-level quantity minus the sum of its order lines.</t>
  </si>
  <si>
    <t xml:space="preserve">SUM(Orders[quantity]) - SUM(OrderItems[quantity])</t>
  </si>
  <si>
    <t xml:space="preserve">Check - Profit (Orders vs Items)</t>
  </si>
  <si>
    <t xml:space="preserve">Orders-level profit minus the sum of its order lines.</t>
  </si>
  <si>
    <t xml:space="preserve">ROUND(SUM(Orders[profit]) - SUM(OrderItems[profit]), 2)</t>
  </si>
  <si>
    <t xml:space="preserve">Blue values in column K are hard-coded references computed from the dataset (valid orders, Year = 2025); compare them with your Power BI cards.</t>
  </si>
  <si>
    <t xml:space="preserve">Model, Relationships and Business Rules</t>
  </si>
  <si>
    <t xml:space="preserve">The conventions every measure relies on.</t>
  </si>
  <si>
    <t xml:space="preserve">1) Tables</t>
  </si>
  <si>
    <t xml:space="preserve">Table</t>
  </si>
  <si>
    <t xml:space="preserve">Key columns</t>
  </si>
  <si>
    <t xml:space="preserve">Role</t>
  </si>
  <si>
    <t xml:space="preserve">Rows</t>
  </si>
  <si>
    <t xml:space="preserve">Date, Year, Month No, Month, Quarter, Day No, Day</t>
  </si>
  <si>
    <t xml:space="preserve">Date table. Mark as date table; sort Month by Month No and Day by Day No.</t>
  </si>
  <si>
    <t xml:space="preserve">4 years (2022-2025)</t>
  </si>
  <si>
    <t xml:space="preserve">customer_id, customer_segment, customer_country, region, customer_acquisition_cost</t>
  </si>
  <si>
    <t xml:space="preserve">Customer attributes (one row per customer).</t>
  </si>
  <si>
    <t xml:space="preserve">14,000</t>
  </si>
  <si>
    <t xml:space="preserve">order_id, order_date, order_status, customer_id, delivery_status, return_status, customer_rating</t>
  </si>
  <si>
    <t xml:space="preserve">Order header: dates, status, delivery, returns, ratings, marketing, loyalty.</t>
  </si>
  <si>
    <t xml:space="preserve">35,087</t>
  </si>
  <si>
    <t xml:space="preserve">order_id, product_id, quantity, unit_price, discount_percentage, net_sales, profit</t>
  </si>
  <si>
    <t xml:space="preserve">Order lines: all money and quantity measures read this table.</t>
  </si>
  <si>
    <t xml:space="preserve">89,105</t>
  </si>
  <si>
    <t xml:space="preserve">product_id, product_name, product_category, product_subcategory, brand, supplier</t>
  </si>
  <si>
    <t xml:space="preserve">Product attributes.</t>
  </si>
  <si>
    <t xml:space="preserve">1,250</t>
  </si>
  <si>
    <t xml:space="preserve">ALL Measures</t>
  </si>
  <si>
    <t xml:space="preserve">(measures only)</t>
  </si>
  <si>
    <t xml:space="preserve">Holds every measure.</t>
  </si>
  <si>
    <t xml:space="preserve">-</t>
  </si>
  <si>
    <t xml:space="preserve">2) Relationships (all one-to-many, single direction)</t>
  </si>
  <si>
    <t xml:space="preserve">From (one side)</t>
  </si>
  <si>
    <t xml:space="preserve">To (many side)</t>
  </si>
  <si>
    <t xml:space="preserve">Purpose</t>
  </si>
  <si>
    <t xml:space="preserve">Calendar[Date]</t>
  </si>
  <si>
    <t xml:space="preserve">Orders[order_date]</t>
  </si>
  <si>
    <t xml:space="preserve">Time intelligence and the Year slicer.</t>
  </si>
  <si>
    <t xml:space="preserve">Customers[customer_id]</t>
  </si>
  <si>
    <t xml:space="preserve">Orders[customer_id]</t>
  </si>
  <si>
    <t xml:space="preserve">Customer attributes (country, segment, region).</t>
  </si>
  <si>
    <t xml:space="preserve">Orders[order_id]</t>
  </si>
  <si>
    <t xml:space="preserve">OrderItems[order_id]</t>
  </si>
  <si>
    <t xml:space="preserve">Links order attributes (status, channel) to order lines.</t>
  </si>
  <si>
    <t xml:space="preserve">ProductCatalog[product_id]</t>
  </si>
  <si>
    <t xml:space="preserve">OrderItems[product_id]</t>
  </si>
  <si>
    <t xml:space="preserve">Category, brand and product analysis.</t>
  </si>
  <si>
    <t xml:space="preserve">3) Business rules</t>
  </si>
  <si>
    <t xml:space="preserve">Rule</t>
  </si>
  <si>
    <t xml:space="preserve">Definition</t>
  </si>
  <si>
    <t xml:space="preserve">Valid orders</t>
  </si>
  <si>
    <t xml:space="preserve">An order counts as a sale unless order_status or delivery_status is Cancelled. Pending and Returned orders stay in sales.</t>
  </si>
  <si>
    <t xml:space="preserve">Gross sales - discount + tax + shipping (the dataset's own definition).</t>
  </si>
  <si>
    <t xml:space="preserve">Net sales - product cost - shipping cost (the dataset's own definition).</t>
  </si>
  <si>
    <t xml:space="preserve">Total profit / net sales.</t>
  </si>
  <si>
    <t xml:space="preserve">(Gross sales - discount - product cost) / (gross sales - discount): product margin before tax and shipping.</t>
  </si>
  <si>
    <t xml:space="preserve">Money source</t>
  </si>
  <si>
    <t xml:space="preserve">Every money and quantity measure reads OrderItems; the Orders table supplies dates, status, delivery, returns, ratings, marketing and loyalty.</t>
  </si>
  <si>
    <t xml:space="preserve">Orders-level measures</t>
  </si>
  <si>
    <t xml:space="preserve">Delivery, returns, ratings and loyalty measures read the Orders table and are not filtered by the valid-order rule. Do not slice them by product fields.</t>
  </si>
  <si>
    <t xml:space="preserve">Time intelligence</t>
  </si>
  <si>
    <t xml:space="preserve">Calendar must be marked as a date table. Keep the Year slicer on a single year (2025) so YoY measures compare year against year.</t>
  </si>
  <si>
    <t xml:space="preserve">All amounts are in USD (the currency column is a label).</t>
  </si>
  <si>
    <t xml:space="preserve">Same-column rule</t>
  </si>
  <si>
    <t xml:space="preserve">A measure that filters a column must not be used with that same column on a visual axis. Use KEEPFILTERS (see Reviewed Orders).</t>
  </si>
  <si>
    <t xml:space="preserve">4) Calculated columns used by the visuals</t>
  </si>
  <si>
    <t xml:space="preserve">Column</t>
  </si>
  <si>
    <t xml:space="preserve">DAX</t>
  </si>
  <si>
    <t xml:space="preserve">Status</t>
  </si>
  <si>
    <t xml:space="preserve">Calendar[Year Month]</t>
  </si>
  <si>
    <t xml:space="preserve">FORMAT('Calendar'[Date], "MMM yyyy")</t>
  </si>
  <si>
    <t xml:space="preserve">Month-by-month axis; sort by Year Month No.</t>
  </si>
  <si>
    <t xml:space="preserve">Recommended</t>
  </si>
  <si>
    <t xml:space="preserve">Calendar[Year Month No]</t>
  </si>
  <si>
    <t xml:space="preserve">YEAR('Calendar'[Date]) * 100 + MONTH('Calendar'[Date])</t>
  </si>
  <si>
    <t xml:space="preserve">Sort key for Year Month.</t>
  </si>
  <si>
    <t xml:space="preserve">OrderItems[Discount Band]</t>
  </si>
  <si>
    <t xml:space="preserve">SWITCH(TRUE(), OrderItems[discount_percentage] = 0, "0% (none)", OrderItems[discount_percentage] &lt; 0.10, "1-9%", OrderItems[discount_percentage] &lt; 0.20, "10-19%", OrderItems[discount_percentage] &lt; 0.30, "20-29%", "30%+")</t>
  </si>
  <si>
    <t xml:space="preserve">Axis of the Discount Impact chart.</t>
  </si>
  <si>
    <t xml:space="preserve">Used on Products page</t>
  </si>
  <si>
    <t xml:space="preserve">OrderItems[Discount Band No]</t>
  </si>
  <si>
    <t xml:space="preserve">SWITCH(TRUE(), discount_percentage = 0, 1, &lt; 0.10, 2, &lt; 0.20, 3, &lt; 0.30, 4, 5)</t>
  </si>
  <si>
    <t xml:space="preserve">Sort key for Discount Band.</t>
  </si>
  <si>
    <t xml:space="preserve">Customers[Acquisition Channel]</t>
  </si>
  <si>
    <t xml:space="preserve">Marketing channel of the customer's first order</t>
  </si>
  <si>
    <t xml:space="preserve">CAC and LTV by acquisition channel.</t>
  </si>
  <si>
    <t xml:space="preserve">Optional (advanced)</t>
  </si>
  <si>
    <t xml:space="preserve">Customers[Cohort Year]</t>
  </si>
  <si>
    <t xml:space="preserve">Year of the customer's first valid order</t>
  </si>
  <si>
    <t xml:space="preserve">Cohort retention matrix.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</si>
</sst>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$#,##0"/>
    <numFmt numFmtId="167" formatCode="#,##0"/>
    <numFmt numFmtId="168" formatCode="0.0%"/>
    <numFmt numFmtId="169" formatCode="0.00%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1114"/>
      <name val="Arial"/>
      <family val="0"/>
      <charset val="1"/>
    </font>
    <font>
      <i val="true"/>
      <sz val="10"/>
      <color rgb="FF6B708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8FF36"/>
      <name val="Arial"/>
      <family val="0"/>
      <charset val="1"/>
    </font>
    <font>
      <i val="true"/>
      <sz val="9"/>
      <color rgb="FF6B708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01114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011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8FF3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8FF3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080"/>
      <rgbColor rgb="FF969696"/>
      <rgbColor rgb="FF003366"/>
      <rgbColor rgb="FF339966"/>
      <rgbColor rgb="FF1011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f aca="false">COUNTA(Measures!$D$5:$D$214)</f>
        <v>210</v>
      </c>
    </row>
    <row r="5" customFormat="false" ht="15" hidden="false" customHeight="false" outlineLevel="0" collapsed="false">
      <c r="A5" s="4" t="s">
        <v>3</v>
      </c>
      <c r="B5" s="4" t="n">
        <f aca="false">COUNT(Measures!$K$5:$K$214)</f>
        <v>46</v>
      </c>
    </row>
    <row r="7" customFormat="false" ht="27.75" hidden="false" customHeight="true" outlineLevel="0" collapsed="false">
      <c r="A7" s="5" t="s">
        <v>4</v>
      </c>
      <c r="B7" s="5" t="s">
        <v>5</v>
      </c>
      <c r="D7" s="6" t="s">
        <v>6</v>
      </c>
      <c r="E7" s="6" t="s">
        <v>5</v>
      </c>
    </row>
    <row r="8" customFormat="false" ht="15" hidden="false" customHeight="false" outlineLevel="0" collapsed="false">
      <c r="A8" s="7" t="s">
        <v>7</v>
      </c>
      <c r="B8" s="7" t="n">
        <f aca="false">COUNTIF(Measures!$B$5:$B$214,A8)</f>
        <v>5</v>
      </c>
      <c r="D8" s="7" t="s">
        <v>8</v>
      </c>
      <c r="E8" s="7" t="n">
        <f aca="false">COUNTIF(Measures!$H$5:$H$214,D8)</f>
        <v>43</v>
      </c>
    </row>
    <row r="9" customFormat="false" ht="15" hidden="false" customHeight="false" outlineLevel="0" collapsed="false">
      <c r="A9" s="7" t="s">
        <v>9</v>
      </c>
      <c r="B9" s="7" t="n">
        <f aca="false">COUNTIF(Measures!$B$5:$B$214,A9)</f>
        <v>32</v>
      </c>
      <c r="D9" s="7" t="s">
        <v>10</v>
      </c>
      <c r="E9" s="7" t="n">
        <f aca="false">COUNTIF(Measures!$H$5:$H$214,D9)</f>
        <v>42</v>
      </c>
    </row>
    <row r="10" customFormat="false" ht="15" hidden="false" customHeight="false" outlineLevel="0" collapsed="false">
      <c r="A10" s="7" t="s">
        <v>11</v>
      </c>
      <c r="B10" s="7" t="n">
        <f aca="false">COUNTIF(Measures!$B$5:$B$214,A10)</f>
        <v>26</v>
      </c>
      <c r="D10" s="7" t="s">
        <v>12</v>
      </c>
      <c r="E10" s="7" t="n">
        <f aca="false">COUNTIF(Measures!$H$5:$H$214,D10)</f>
        <v>11</v>
      </c>
    </row>
    <row r="11" customFormat="false" ht="15" hidden="false" customHeight="false" outlineLevel="0" collapsed="false">
      <c r="A11" s="7" t="s">
        <v>13</v>
      </c>
      <c r="B11" s="7" t="n">
        <f aca="false">COUNTIF(Measures!$B$5:$B$214,A11)</f>
        <v>15</v>
      </c>
      <c r="D11" s="7" t="s">
        <v>14</v>
      </c>
      <c r="E11" s="7" t="n">
        <f aca="false">COUNTIF(Measures!$H$5:$H$214,D11)</f>
        <v>60</v>
      </c>
    </row>
    <row r="12" customFormat="false" ht="15" hidden="false" customHeight="false" outlineLevel="0" collapsed="false">
      <c r="A12" s="7" t="s">
        <v>15</v>
      </c>
      <c r="B12" s="7" t="n">
        <f aca="false">COUNTIF(Measures!$B$5:$B$214,A12)</f>
        <v>33</v>
      </c>
      <c r="D12" s="7" t="s">
        <v>16</v>
      </c>
      <c r="E12" s="7" t="n">
        <f aca="false">COUNTIF(Measures!$H$5:$H$214,D12)</f>
        <v>1</v>
      </c>
    </row>
    <row r="13" customFormat="false" ht="15" hidden="false" customHeight="false" outlineLevel="0" collapsed="false">
      <c r="A13" s="7" t="s">
        <v>17</v>
      </c>
      <c r="B13" s="7" t="n">
        <f aca="false">COUNTIF(Measures!$B$5:$B$214,A13)</f>
        <v>25</v>
      </c>
      <c r="D13" s="7" t="s">
        <v>18</v>
      </c>
      <c r="E13" s="7" t="n">
        <f aca="false">COUNTIF(Measures!$H$5:$H$214,D13)</f>
        <v>2</v>
      </c>
    </row>
    <row r="14" customFormat="false" ht="15" hidden="false" customHeight="false" outlineLevel="0" collapsed="false">
      <c r="A14" s="7" t="s">
        <v>19</v>
      </c>
      <c r="B14" s="7" t="n">
        <f aca="false">COUNTIF(Measures!$B$5:$B$214,A14)</f>
        <v>12</v>
      </c>
      <c r="D14" s="7" t="s">
        <v>20</v>
      </c>
      <c r="E14" s="7" t="n">
        <f aca="false">COUNTIF(Measures!$H$5:$H$214,D14)</f>
        <v>38</v>
      </c>
    </row>
    <row r="15" customFormat="false" ht="15" hidden="false" customHeight="false" outlineLevel="0" collapsed="false">
      <c r="A15" s="7" t="s">
        <v>21</v>
      </c>
      <c r="B15" s="7" t="n">
        <f aca="false">COUNTIF(Measures!$B$5:$B$214,A15)</f>
        <v>15</v>
      </c>
      <c r="D15" s="7" t="s">
        <v>22</v>
      </c>
      <c r="E15" s="7" t="n">
        <f aca="false">COUNTIF(Measures!$H$5:$H$214,D15)</f>
        <v>13</v>
      </c>
    </row>
    <row r="16" customFormat="false" ht="15" hidden="false" customHeight="false" outlineLevel="0" collapsed="false">
      <c r="A16" s="7" t="s">
        <v>23</v>
      </c>
      <c r="B16" s="7" t="n">
        <f aca="false">COUNTIF(Measures!$B$5:$B$214,A16)</f>
        <v>10</v>
      </c>
      <c r="D16" s="3" t="s">
        <v>24</v>
      </c>
      <c r="E16" s="3" t="n">
        <f aca="false">SUM(E8:E15)</f>
        <v>210</v>
      </c>
    </row>
    <row r="17" customFormat="false" ht="15" hidden="false" customHeight="false" outlineLevel="0" collapsed="false">
      <c r="A17" s="7" t="s">
        <v>25</v>
      </c>
      <c r="B17" s="7" t="n">
        <f aca="false">COUNTIF(Measures!$B$5:$B$214,A17)</f>
        <v>27</v>
      </c>
    </row>
    <row r="18" customFormat="false" ht="15" hidden="false" customHeight="false" outlineLevel="0" collapsed="false">
      <c r="A18" s="7" t="s">
        <v>26</v>
      </c>
      <c r="B18" s="7" t="n">
        <f aca="false">COUNTIF(Measures!$B$5:$B$214,A18)</f>
        <v>10</v>
      </c>
    </row>
    <row r="19" customFormat="false" ht="15" hidden="false" customHeight="false" outlineLevel="0" collapsed="false">
      <c r="A19" s="3" t="s">
        <v>24</v>
      </c>
      <c r="B19" s="3" t="n">
        <f aca="false">SUM(B8:B18)</f>
        <v>210</v>
      </c>
    </row>
    <row r="20" customFormat="false" ht="15" hidden="false" customHeight="false" outlineLevel="0" collapsed="false">
      <c r="A20" s="8" t="s">
        <v>27</v>
      </c>
      <c r="B20" s="3" t="str">
        <f aca="false">IF(B19=B4,"OK","MISMATCH")</f>
        <v>OK</v>
      </c>
    </row>
    <row r="22" customFormat="false" ht="15" hidden="false" customHeight="false" outlineLevel="0" collapsed="false">
      <c r="A22" s="9" t="s">
        <v>28</v>
      </c>
    </row>
    <row r="23" customFormat="false" ht="27.75" hidden="false" customHeight="true" outlineLevel="0" collapsed="false">
      <c r="A23" s="5" t="s">
        <v>29</v>
      </c>
      <c r="B23" s="5" t="s">
        <v>5</v>
      </c>
    </row>
    <row r="24" customFormat="false" ht="15" hidden="false" customHeight="false" outlineLevel="0" collapsed="false">
      <c r="A24" s="7" t="s">
        <v>30</v>
      </c>
      <c r="B24" s="7" t="n">
        <f aca="false">COUNTIF(Measures!$L$5:$L$214,A24)</f>
        <v>5</v>
      </c>
    </row>
    <row r="25" customFormat="false" ht="15" hidden="false" customHeight="false" outlineLevel="0" collapsed="false">
      <c r="A25" s="7" t="s">
        <v>31</v>
      </c>
      <c r="B25" s="7" t="n">
        <f aca="false">COUNTIF(Measures!$L$5:$L$214,A25)</f>
        <v>17</v>
      </c>
    </row>
    <row r="26" customFormat="false" ht="15" hidden="false" customHeight="false" outlineLevel="0" collapsed="false">
      <c r="A26" s="7" t="s">
        <v>32</v>
      </c>
      <c r="B26" s="7" t="n">
        <f aca="false">COUNTIF(Measures!$L$5:$L$214,A26)</f>
        <v>170</v>
      </c>
    </row>
    <row r="27" customFormat="false" ht="15" hidden="false" customHeight="false" outlineLevel="0" collapsed="false">
      <c r="A27" s="7" t="s">
        <v>33</v>
      </c>
      <c r="B27" s="7" t="n">
        <f aca="false">COUNTIF(Measures!$L$5:$L$214,A27)</f>
        <v>2</v>
      </c>
    </row>
    <row r="28" customFormat="false" ht="15" hidden="false" customHeight="false" outlineLevel="0" collapsed="false">
      <c r="A28" s="7" t="s">
        <v>34</v>
      </c>
      <c r="B28" s="7" t="n">
        <f aca="false">COUNTIF(Measures!$L$5:$L$214,A28)</f>
        <v>15</v>
      </c>
    </row>
    <row r="29" customFormat="false" ht="15" hidden="false" customHeight="false" outlineLevel="0" collapsed="false">
      <c r="A29" s="7" t="s">
        <v>35</v>
      </c>
      <c r="B29" s="7" t="n">
        <f aca="false">COUNTIF(Measures!$L$5:$L$214,A29)</f>
        <v>1</v>
      </c>
    </row>
    <row r="31" customFormat="false" ht="15" hidden="false" customHeight="false" outlineLevel="0" collapsed="false">
      <c r="A31" s="8" t="s">
        <v>36</v>
      </c>
    </row>
    <row r="32" customFormat="false" ht="15" hidden="false" customHeight="false" outlineLevel="0" collapsed="false">
      <c r="A32" s="8" t="s">
        <v>37</v>
      </c>
    </row>
    <row r="33" customFormat="false" ht="15" hidden="false" customHeight="false" outlineLevel="0" collapsed="false">
      <c r="A33" s="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32"/>
    <col collapsed="false" customWidth="true" hidden="false" outlineLevel="0" max="5" min="5" style="0" width="58"/>
    <col collapsed="false" customWidth="true" hidden="false" outlineLevel="0" max="6" min="6" style="0" width="70"/>
    <col collapsed="false" customWidth="true" hidden="false" outlineLevel="0" max="8" min="7" style="0" width="14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16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27.75" hidden="false" customHeight="true" outlineLevel="0" collapsed="false">
      <c r="A4" s="5" t="s">
        <v>41</v>
      </c>
      <c r="B4" s="5" t="s">
        <v>4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6</v>
      </c>
      <c r="I4" s="5" t="s">
        <v>47</v>
      </c>
      <c r="J4" s="5" t="s">
        <v>48</v>
      </c>
      <c r="K4" s="5" t="s">
        <v>49</v>
      </c>
      <c r="L4" s="5" t="s">
        <v>29</v>
      </c>
    </row>
    <row r="5" customFormat="false" ht="18" hidden="false" customHeight="true" outlineLevel="0" collapsed="false">
      <c r="A5" s="10" t="n">
        <v>1</v>
      </c>
      <c r="B5" s="11" t="s">
        <v>7</v>
      </c>
      <c r="C5" s="11"/>
      <c r="D5" s="12" t="s">
        <v>50</v>
      </c>
      <c r="E5" s="11" t="s">
        <v>51</v>
      </c>
      <c r="F5" s="11" t="s">
        <v>52</v>
      </c>
      <c r="G5" s="10" t="s">
        <v>53</v>
      </c>
      <c r="H5" s="10" t="s">
        <v>18</v>
      </c>
      <c r="I5" s="11" t="s">
        <v>54</v>
      </c>
      <c r="J5" s="11"/>
      <c r="K5" s="13"/>
      <c r="L5" s="11" t="s">
        <v>32</v>
      </c>
    </row>
    <row r="6" customFormat="false" ht="18" hidden="false" customHeight="true" outlineLevel="0" collapsed="false">
      <c r="A6" s="10" t="n">
        <v>2</v>
      </c>
      <c r="B6" s="11" t="s">
        <v>7</v>
      </c>
      <c r="C6" s="11"/>
      <c r="D6" s="12" t="s">
        <v>55</v>
      </c>
      <c r="E6" s="11" t="s">
        <v>56</v>
      </c>
      <c r="F6" s="11" t="s">
        <v>57</v>
      </c>
      <c r="G6" s="10" t="s">
        <v>58</v>
      </c>
      <c r="H6" s="10" t="s">
        <v>20</v>
      </c>
      <c r="I6" s="11"/>
      <c r="J6" s="11" t="s">
        <v>50</v>
      </c>
      <c r="K6" s="13"/>
      <c r="L6" s="11" t="s">
        <v>32</v>
      </c>
    </row>
    <row r="7" customFormat="false" ht="24.75" hidden="false" customHeight="true" outlineLevel="0" collapsed="false">
      <c r="A7" s="10" t="n">
        <v>3</v>
      </c>
      <c r="B7" s="11" t="s">
        <v>7</v>
      </c>
      <c r="C7" s="11"/>
      <c r="D7" s="12" t="s">
        <v>59</v>
      </c>
      <c r="E7" s="11" t="s">
        <v>60</v>
      </c>
      <c r="F7" s="11" t="s">
        <v>61</v>
      </c>
      <c r="G7" s="10" t="s">
        <v>58</v>
      </c>
      <c r="H7" s="10" t="s">
        <v>20</v>
      </c>
      <c r="I7" s="11" t="s">
        <v>62</v>
      </c>
      <c r="J7" s="11"/>
      <c r="K7" s="13"/>
      <c r="L7" s="11" t="s">
        <v>32</v>
      </c>
    </row>
    <row r="8" customFormat="false" ht="49.5" hidden="false" customHeight="true" outlineLevel="0" collapsed="false">
      <c r="A8" s="10" t="n">
        <v>4</v>
      </c>
      <c r="B8" s="11" t="s">
        <v>7</v>
      </c>
      <c r="C8" s="11"/>
      <c r="D8" s="12" t="s">
        <v>63</v>
      </c>
      <c r="E8" s="11" t="s">
        <v>64</v>
      </c>
      <c r="F8" s="11" t="s">
        <v>65</v>
      </c>
      <c r="G8" s="10" t="s">
        <v>58</v>
      </c>
      <c r="H8" s="10" t="s">
        <v>20</v>
      </c>
      <c r="I8" s="11" t="s">
        <v>62</v>
      </c>
      <c r="J8" s="11"/>
      <c r="K8" s="13"/>
      <c r="L8" s="11" t="s">
        <v>32</v>
      </c>
    </row>
    <row r="9" customFormat="false" ht="62.25" hidden="false" customHeight="true" outlineLevel="0" collapsed="false">
      <c r="A9" s="10" t="n">
        <v>5</v>
      </c>
      <c r="B9" s="11" t="s">
        <v>7</v>
      </c>
      <c r="C9" s="11"/>
      <c r="D9" s="12" t="s">
        <v>66</v>
      </c>
      <c r="E9" s="11" t="s">
        <v>67</v>
      </c>
      <c r="F9" s="11" t="s">
        <v>68</v>
      </c>
      <c r="G9" s="10" t="s">
        <v>69</v>
      </c>
      <c r="H9" s="10" t="s">
        <v>10</v>
      </c>
      <c r="I9" s="11" t="s">
        <v>54</v>
      </c>
      <c r="J9" s="11"/>
      <c r="K9" s="13"/>
      <c r="L9" s="11" t="s">
        <v>32</v>
      </c>
    </row>
    <row r="10" customFormat="false" ht="18" hidden="false" customHeight="true" outlineLevel="0" collapsed="false">
      <c r="A10" s="10" t="n">
        <v>6</v>
      </c>
      <c r="B10" s="11" t="s">
        <v>9</v>
      </c>
      <c r="C10" s="11" t="s">
        <v>70</v>
      </c>
      <c r="D10" s="12" t="s">
        <v>71</v>
      </c>
      <c r="E10" s="11" t="s">
        <v>72</v>
      </c>
      <c r="F10" s="11" t="s">
        <v>73</v>
      </c>
      <c r="G10" s="10" t="s">
        <v>74</v>
      </c>
      <c r="H10" s="10" t="s">
        <v>8</v>
      </c>
      <c r="I10" s="11"/>
      <c r="J10" s="11" t="s">
        <v>75</v>
      </c>
      <c r="K10" s="14" t="n">
        <v>463.52</v>
      </c>
      <c r="L10" s="11" t="s">
        <v>32</v>
      </c>
    </row>
    <row r="11" customFormat="false" ht="18" hidden="false" customHeight="true" outlineLevel="0" collapsed="false">
      <c r="A11" s="10" t="n">
        <v>7</v>
      </c>
      <c r="B11" s="11" t="s">
        <v>9</v>
      </c>
      <c r="C11" s="11" t="s">
        <v>70</v>
      </c>
      <c r="D11" s="12" t="s">
        <v>76</v>
      </c>
      <c r="E11" s="11" t="s">
        <v>77</v>
      </c>
      <c r="F11" s="11" t="s">
        <v>78</v>
      </c>
      <c r="G11" s="10" t="s">
        <v>79</v>
      </c>
      <c r="H11" s="10" t="s">
        <v>12</v>
      </c>
      <c r="I11" s="11"/>
      <c r="J11" s="11" t="s">
        <v>80</v>
      </c>
      <c r="K11" s="13"/>
      <c r="L11" s="11" t="s">
        <v>32</v>
      </c>
    </row>
    <row r="12" customFormat="false" ht="18" hidden="false" customHeight="true" outlineLevel="0" collapsed="false">
      <c r="A12" s="10" t="n">
        <v>8</v>
      </c>
      <c r="B12" s="11" t="s">
        <v>9</v>
      </c>
      <c r="C12" s="11" t="s">
        <v>70</v>
      </c>
      <c r="D12" s="12" t="s">
        <v>81</v>
      </c>
      <c r="E12" s="11" t="s">
        <v>82</v>
      </c>
      <c r="F12" s="11" t="s">
        <v>83</v>
      </c>
      <c r="G12" s="10" t="s">
        <v>74</v>
      </c>
      <c r="H12" s="10" t="s">
        <v>8</v>
      </c>
      <c r="I12" s="11"/>
      <c r="J12" s="11" t="s">
        <v>84</v>
      </c>
      <c r="K12" s="13"/>
      <c r="L12" s="11" t="s">
        <v>32</v>
      </c>
    </row>
    <row r="13" customFormat="false" ht="18" hidden="false" customHeight="true" outlineLevel="0" collapsed="false">
      <c r="A13" s="10" t="n">
        <v>9</v>
      </c>
      <c r="B13" s="11" t="s">
        <v>9</v>
      </c>
      <c r="C13" s="11" t="s">
        <v>70</v>
      </c>
      <c r="D13" s="12" t="s">
        <v>85</v>
      </c>
      <c r="E13" s="11" t="s">
        <v>86</v>
      </c>
      <c r="F13" s="11" t="s">
        <v>87</v>
      </c>
      <c r="G13" s="10" t="s">
        <v>74</v>
      </c>
      <c r="H13" s="10" t="s">
        <v>8</v>
      </c>
      <c r="I13" s="11"/>
      <c r="J13" s="11" t="s">
        <v>88</v>
      </c>
      <c r="K13" s="13"/>
      <c r="L13" s="11" t="s">
        <v>32</v>
      </c>
    </row>
    <row r="14" customFormat="false" ht="18" hidden="false" customHeight="true" outlineLevel="0" collapsed="false">
      <c r="A14" s="10" t="n">
        <v>10</v>
      </c>
      <c r="B14" s="11" t="s">
        <v>9</v>
      </c>
      <c r="C14" s="11" t="s">
        <v>70</v>
      </c>
      <c r="D14" s="12" t="s">
        <v>89</v>
      </c>
      <c r="E14" s="11" t="s">
        <v>90</v>
      </c>
      <c r="F14" s="11" t="s">
        <v>91</v>
      </c>
      <c r="G14" s="10" t="s">
        <v>74</v>
      </c>
      <c r="H14" s="10" t="s">
        <v>8</v>
      </c>
      <c r="I14" s="11"/>
      <c r="J14" s="11" t="s">
        <v>92</v>
      </c>
      <c r="K14" s="13"/>
      <c r="L14" s="11" t="s">
        <v>32</v>
      </c>
    </row>
    <row r="15" customFormat="false" ht="62.25" hidden="false" customHeight="true" outlineLevel="0" collapsed="false">
      <c r="A15" s="10" t="n">
        <v>11</v>
      </c>
      <c r="B15" s="11" t="s">
        <v>9</v>
      </c>
      <c r="C15" s="11" t="s">
        <v>93</v>
      </c>
      <c r="D15" s="12" t="s">
        <v>94</v>
      </c>
      <c r="E15" s="11" t="s">
        <v>95</v>
      </c>
      <c r="F15" s="11" t="s">
        <v>96</v>
      </c>
      <c r="G15" s="10" t="s">
        <v>97</v>
      </c>
      <c r="H15" s="10" t="s">
        <v>8</v>
      </c>
      <c r="I15" s="11" t="s">
        <v>98</v>
      </c>
      <c r="J15" s="11"/>
      <c r="K15" s="13"/>
      <c r="L15" s="11" t="s">
        <v>32</v>
      </c>
    </row>
    <row r="16" customFormat="false" ht="62.25" hidden="false" customHeight="true" outlineLevel="0" collapsed="false">
      <c r="A16" s="10" t="n">
        <v>12</v>
      </c>
      <c r="B16" s="11" t="s">
        <v>9</v>
      </c>
      <c r="C16" s="11" t="s">
        <v>93</v>
      </c>
      <c r="D16" s="12" t="s">
        <v>99</v>
      </c>
      <c r="E16" s="11" t="s">
        <v>100</v>
      </c>
      <c r="F16" s="11" t="s">
        <v>101</v>
      </c>
      <c r="G16" s="10" t="s">
        <v>97</v>
      </c>
      <c r="H16" s="10" t="s">
        <v>8</v>
      </c>
      <c r="I16" s="11" t="s">
        <v>98</v>
      </c>
      <c r="J16" s="11"/>
      <c r="K16" s="13"/>
      <c r="L16" s="11" t="s">
        <v>32</v>
      </c>
    </row>
    <row r="17" customFormat="false" ht="62.25" hidden="false" customHeight="true" outlineLevel="0" collapsed="false">
      <c r="A17" s="10" t="n">
        <v>13</v>
      </c>
      <c r="B17" s="11" t="s">
        <v>9</v>
      </c>
      <c r="C17" s="11" t="s">
        <v>93</v>
      </c>
      <c r="D17" s="12" t="s">
        <v>102</v>
      </c>
      <c r="E17" s="11" t="s">
        <v>103</v>
      </c>
      <c r="F17" s="11" t="s">
        <v>104</v>
      </c>
      <c r="G17" s="10" t="s">
        <v>97</v>
      </c>
      <c r="H17" s="10" t="s">
        <v>8</v>
      </c>
      <c r="I17" s="11" t="s">
        <v>98</v>
      </c>
      <c r="J17" s="11"/>
      <c r="K17" s="13"/>
      <c r="L17" s="11" t="s">
        <v>32</v>
      </c>
    </row>
    <row r="18" customFormat="false" ht="62.25" hidden="false" customHeight="true" outlineLevel="0" collapsed="false">
      <c r="A18" s="10" t="n">
        <v>14</v>
      </c>
      <c r="B18" s="11" t="s">
        <v>9</v>
      </c>
      <c r="C18" s="11" t="s">
        <v>93</v>
      </c>
      <c r="D18" s="12" t="s">
        <v>105</v>
      </c>
      <c r="E18" s="11" t="s">
        <v>106</v>
      </c>
      <c r="F18" s="11" t="s">
        <v>107</v>
      </c>
      <c r="G18" s="10" t="s">
        <v>97</v>
      </c>
      <c r="H18" s="10" t="s">
        <v>8</v>
      </c>
      <c r="I18" s="11" t="s">
        <v>98</v>
      </c>
      <c r="J18" s="11"/>
      <c r="K18" s="13"/>
      <c r="L18" s="11" t="s">
        <v>32</v>
      </c>
    </row>
    <row r="19" customFormat="false" ht="62.25" hidden="false" customHeight="true" outlineLevel="0" collapsed="false">
      <c r="A19" s="10" t="n">
        <v>15</v>
      </c>
      <c r="B19" s="11" t="s">
        <v>9</v>
      </c>
      <c r="C19" s="11" t="s">
        <v>93</v>
      </c>
      <c r="D19" s="12" t="s">
        <v>108</v>
      </c>
      <c r="E19" s="11" t="s">
        <v>109</v>
      </c>
      <c r="F19" s="11" t="s">
        <v>110</v>
      </c>
      <c r="G19" s="10" t="s">
        <v>97</v>
      </c>
      <c r="H19" s="10" t="s">
        <v>8</v>
      </c>
      <c r="I19" s="11" t="s">
        <v>98</v>
      </c>
      <c r="J19" s="11"/>
      <c r="K19" s="15" t="n">
        <v>5654533</v>
      </c>
      <c r="L19" s="11" t="s">
        <v>32</v>
      </c>
    </row>
    <row r="20" customFormat="false" ht="62.25" hidden="false" customHeight="true" outlineLevel="0" collapsed="false">
      <c r="A20" s="10" t="n">
        <v>16</v>
      </c>
      <c r="B20" s="11" t="s">
        <v>9</v>
      </c>
      <c r="C20" s="11" t="s">
        <v>93</v>
      </c>
      <c r="D20" s="12" t="s">
        <v>111</v>
      </c>
      <c r="E20" s="11" t="s">
        <v>112</v>
      </c>
      <c r="F20" s="11" t="s">
        <v>113</v>
      </c>
      <c r="G20" s="10" t="s">
        <v>97</v>
      </c>
      <c r="H20" s="10" t="s">
        <v>8</v>
      </c>
      <c r="I20" s="11" t="s">
        <v>98</v>
      </c>
      <c r="J20" s="11"/>
      <c r="K20" s="13"/>
      <c r="L20" s="11" t="s">
        <v>32</v>
      </c>
    </row>
    <row r="21" customFormat="false" ht="62.25" hidden="false" customHeight="true" outlineLevel="0" collapsed="false">
      <c r="A21" s="10" t="n">
        <v>17</v>
      </c>
      <c r="B21" s="11" t="s">
        <v>9</v>
      </c>
      <c r="C21" s="11" t="s">
        <v>93</v>
      </c>
      <c r="D21" s="12" t="s">
        <v>114</v>
      </c>
      <c r="E21" s="11" t="s">
        <v>115</v>
      </c>
      <c r="F21" s="11" t="s">
        <v>116</v>
      </c>
      <c r="G21" s="10" t="s">
        <v>97</v>
      </c>
      <c r="H21" s="10" t="s">
        <v>8</v>
      </c>
      <c r="I21" s="11" t="s">
        <v>98</v>
      </c>
      <c r="J21" s="11"/>
      <c r="K21" s="15" t="n">
        <v>1910697</v>
      </c>
      <c r="L21" s="11" t="s">
        <v>32</v>
      </c>
    </row>
    <row r="22" customFormat="false" ht="62.25" hidden="false" customHeight="true" outlineLevel="0" collapsed="false">
      <c r="A22" s="10" t="n">
        <v>18</v>
      </c>
      <c r="B22" s="11" t="s">
        <v>9</v>
      </c>
      <c r="C22" s="11" t="s">
        <v>93</v>
      </c>
      <c r="D22" s="12" t="s">
        <v>117</v>
      </c>
      <c r="E22" s="11" t="s">
        <v>118</v>
      </c>
      <c r="F22" s="11" t="s">
        <v>119</v>
      </c>
      <c r="G22" s="10" t="s">
        <v>69</v>
      </c>
      <c r="H22" s="10" t="s">
        <v>10</v>
      </c>
      <c r="I22" s="11" t="s">
        <v>98</v>
      </c>
      <c r="J22" s="11"/>
      <c r="K22" s="16" t="n">
        <v>54436</v>
      </c>
      <c r="L22" s="11" t="s">
        <v>32</v>
      </c>
    </row>
    <row r="23" customFormat="false" ht="62.25" hidden="false" customHeight="true" outlineLevel="0" collapsed="false">
      <c r="A23" s="10" t="n">
        <v>19</v>
      </c>
      <c r="B23" s="11" t="s">
        <v>9</v>
      </c>
      <c r="C23" s="11" t="s">
        <v>93</v>
      </c>
      <c r="D23" s="12" t="s">
        <v>120</v>
      </c>
      <c r="E23" s="11" t="s">
        <v>121</v>
      </c>
      <c r="F23" s="11" t="s">
        <v>122</v>
      </c>
      <c r="G23" s="10" t="s">
        <v>69</v>
      </c>
      <c r="H23" s="10" t="s">
        <v>10</v>
      </c>
      <c r="I23" s="11" t="s">
        <v>98</v>
      </c>
      <c r="J23" s="11"/>
      <c r="K23" s="16" t="n">
        <v>12199</v>
      </c>
      <c r="L23" s="11" t="s">
        <v>32</v>
      </c>
    </row>
    <row r="24" customFormat="false" ht="62.25" hidden="false" customHeight="true" outlineLevel="0" collapsed="false">
      <c r="A24" s="10" t="n">
        <v>20</v>
      </c>
      <c r="B24" s="11" t="s">
        <v>9</v>
      </c>
      <c r="C24" s="11" t="s">
        <v>93</v>
      </c>
      <c r="D24" s="12" t="s">
        <v>123</v>
      </c>
      <c r="E24" s="11" t="s">
        <v>124</v>
      </c>
      <c r="F24" s="11" t="s">
        <v>125</v>
      </c>
      <c r="G24" s="10" t="s">
        <v>69</v>
      </c>
      <c r="H24" s="10" t="s">
        <v>10</v>
      </c>
      <c r="I24" s="11" t="s">
        <v>54</v>
      </c>
      <c r="J24" s="11"/>
      <c r="K24" s="13"/>
      <c r="L24" s="11" t="s">
        <v>32</v>
      </c>
    </row>
    <row r="25" customFormat="false" ht="18" hidden="false" customHeight="true" outlineLevel="0" collapsed="false">
      <c r="A25" s="10" t="n">
        <v>21</v>
      </c>
      <c r="B25" s="11" t="s">
        <v>9</v>
      </c>
      <c r="C25" s="11" t="s">
        <v>93</v>
      </c>
      <c r="D25" s="12" t="s">
        <v>126</v>
      </c>
      <c r="E25" s="11" t="s">
        <v>127</v>
      </c>
      <c r="F25" s="11" t="s">
        <v>128</v>
      </c>
      <c r="G25" s="10" t="s">
        <v>97</v>
      </c>
      <c r="H25" s="10" t="s">
        <v>8</v>
      </c>
      <c r="I25" s="11"/>
      <c r="J25" s="11" t="s">
        <v>129</v>
      </c>
      <c r="K25" s="13"/>
      <c r="L25" s="11" t="s">
        <v>32</v>
      </c>
    </row>
    <row r="26" customFormat="false" ht="18" hidden="false" customHeight="true" outlineLevel="0" collapsed="false">
      <c r="A26" s="10" t="n">
        <v>22</v>
      </c>
      <c r="B26" s="11" t="s">
        <v>9</v>
      </c>
      <c r="C26" s="11" t="s">
        <v>93</v>
      </c>
      <c r="D26" s="12" t="s">
        <v>130</v>
      </c>
      <c r="E26" s="11" t="s">
        <v>131</v>
      </c>
      <c r="F26" s="11" t="s">
        <v>132</v>
      </c>
      <c r="G26" s="10" t="s">
        <v>97</v>
      </c>
      <c r="H26" s="10" t="s">
        <v>8</v>
      </c>
      <c r="I26" s="11"/>
      <c r="J26" s="11" t="s">
        <v>133</v>
      </c>
      <c r="K26" s="13"/>
      <c r="L26" s="11" t="s">
        <v>32</v>
      </c>
    </row>
    <row r="27" customFormat="false" ht="18" hidden="false" customHeight="true" outlineLevel="0" collapsed="false">
      <c r="A27" s="10" t="n">
        <v>23</v>
      </c>
      <c r="B27" s="11" t="s">
        <v>9</v>
      </c>
      <c r="C27" s="11" t="s">
        <v>93</v>
      </c>
      <c r="D27" s="12" t="s">
        <v>134</v>
      </c>
      <c r="E27" s="11" t="s">
        <v>135</v>
      </c>
      <c r="F27" s="11" t="s">
        <v>136</v>
      </c>
      <c r="G27" s="10" t="s">
        <v>137</v>
      </c>
      <c r="H27" s="10" t="s">
        <v>14</v>
      </c>
      <c r="I27" s="11"/>
      <c r="J27" s="11" t="s">
        <v>138</v>
      </c>
      <c r="K27" s="17" t="n">
        <v>0.3379</v>
      </c>
      <c r="L27" s="11" t="s">
        <v>32</v>
      </c>
    </row>
    <row r="28" customFormat="false" ht="18" hidden="false" customHeight="true" outlineLevel="0" collapsed="false">
      <c r="A28" s="10" t="n">
        <v>24</v>
      </c>
      <c r="B28" s="11" t="s">
        <v>9</v>
      </c>
      <c r="C28" s="11" t="s">
        <v>93</v>
      </c>
      <c r="D28" s="12" t="s">
        <v>139</v>
      </c>
      <c r="E28" s="11" t="s">
        <v>140</v>
      </c>
      <c r="F28" s="11" t="s">
        <v>141</v>
      </c>
      <c r="G28" s="10" t="s">
        <v>137</v>
      </c>
      <c r="H28" s="10" t="s">
        <v>14</v>
      </c>
      <c r="I28" s="11"/>
      <c r="J28" s="11" t="s">
        <v>142</v>
      </c>
      <c r="K28" s="17" t="n">
        <v>0.258</v>
      </c>
      <c r="L28" s="11" t="s">
        <v>32</v>
      </c>
    </row>
    <row r="29" customFormat="false" ht="18" hidden="false" customHeight="true" outlineLevel="0" collapsed="false">
      <c r="A29" s="10" t="n">
        <v>25</v>
      </c>
      <c r="B29" s="11" t="s">
        <v>9</v>
      </c>
      <c r="C29" s="11" t="s">
        <v>143</v>
      </c>
      <c r="D29" s="12" t="s">
        <v>144</v>
      </c>
      <c r="E29" s="11" t="s">
        <v>145</v>
      </c>
      <c r="F29" s="11" t="s">
        <v>146</v>
      </c>
      <c r="G29" s="10" t="s">
        <v>137</v>
      </c>
      <c r="H29" s="10" t="s">
        <v>14</v>
      </c>
      <c r="I29" s="11"/>
      <c r="J29" s="11" t="s">
        <v>147</v>
      </c>
      <c r="K29" s="17" t="n">
        <v>0.15</v>
      </c>
      <c r="L29" s="11" t="s">
        <v>32</v>
      </c>
    </row>
    <row r="30" customFormat="false" ht="62.25" hidden="false" customHeight="true" outlineLevel="0" collapsed="false">
      <c r="A30" s="10" t="n">
        <v>26</v>
      </c>
      <c r="B30" s="11" t="s">
        <v>9</v>
      </c>
      <c r="C30" s="11" t="s">
        <v>143</v>
      </c>
      <c r="D30" s="12" t="s">
        <v>148</v>
      </c>
      <c r="E30" s="11" t="s">
        <v>149</v>
      </c>
      <c r="F30" s="11" t="s">
        <v>150</v>
      </c>
      <c r="G30" s="10" t="s">
        <v>137</v>
      </c>
      <c r="H30" s="10" t="s">
        <v>14</v>
      </c>
      <c r="I30" s="11" t="s">
        <v>98</v>
      </c>
      <c r="J30" s="11"/>
      <c r="K30" s="13"/>
      <c r="L30" s="11" t="s">
        <v>32</v>
      </c>
    </row>
    <row r="31" customFormat="false" ht="24.75" hidden="false" customHeight="true" outlineLevel="0" collapsed="false">
      <c r="A31" s="10" t="n">
        <v>27</v>
      </c>
      <c r="B31" s="11" t="s">
        <v>9</v>
      </c>
      <c r="C31" s="11" t="s">
        <v>143</v>
      </c>
      <c r="D31" s="12" t="s">
        <v>151</v>
      </c>
      <c r="E31" s="11" t="s">
        <v>152</v>
      </c>
      <c r="F31" s="11" t="s">
        <v>153</v>
      </c>
      <c r="G31" s="10" t="s">
        <v>137</v>
      </c>
      <c r="H31" s="10" t="s">
        <v>14</v>
      </c>
      <c r="I31" s="11" t="s">
        <v>154</v>
      </c>
      <c r="J31" s="11" t="s">
        <v>108</v>
      </c>
      <c r="K31" s="17" t="n">
        <v>0.075</v>
      </c>
      <c r="L31" s="11" t="s">
        <v>32</v>
      </c>
    </row>
    <row r="32" customFormat="false" ht="24.75" hidden="false" customHeight="true" outlineLevel="0" collapsed="false">
      <c r="A32" s="10" t="n">
        <v>28</v>
      </c>
      <c r="B32" s="11" t="s">
        <v>9</v>
      </c>
      <c r="C32" s="11" t="s">
        <v>143</v>
      </c>
      <c r="D32" s="12" t="s">
        <v>155</v>
      </c>
      <c r="E32" s="11" t="s">
        <v>156</v>
      </c>
      <c r="F32" s="11" t="s">
        <v>157</v>
      </c>
      <c r="G32" s="10" t="s">
        <v>137</v>
      </c>
      <c r="H32" s="10" t="s">
        <v>14</v>
      </c>
      <c r="I32" s="11" t="s">
        <v>154</v>
      </c>
      <c r="J32" s="11" t="s">
        <v>138</v>
      </c>
      <c r="K32" s="17" t="n">
        <v>0.116</v>
      </c>
      <c r="L32" s="11" t="s">
        <v>32</v>
      </c>
    </row>
    <row r="33" customFormat="false" ht="24.75" hidden="false" customHeight="true" outlineLevel="0" collapsed="false">
      <c r="A33" s="10" t="n">
        <v>29</v>
      </c>
      <c r="B33" s="11" t="s">
        <v>9</v>
      </c>
      <c r="C33" s="11" t="s">
        <v>143</v>
      </c>
      <c r="D33" s="12" t="s">
        <v>158</v>
      </c>
      <c r="E33" s="11" t="s">
        <v>159</v>
      </c>
      <c r="F33" s="11" t="s">
        <v>160</v>
      </c>
      <c r="G33" s="10" t="s">
        <v>137</v>
      </c>
      <c r="H33" s="10" t="s">
        <v>14</v>
      </c>
      <c r="I33" s="11" t="s">
        <v>154</v>
      </c>
      <c r="J33" s="11" t="s">
        <v>138</v>
      </c>
      <c r="K33" s="17" t="n">
        <v>0.425</v>
      </c>
      <c r="L33" s="11" t="s">
        <v>32</v>
      </c>
    </row>
    <row r="34" customFormat="false" ht="24.75" hidden="false" customHeight="true" outlineLevel="0" collapsed="false">
      <c r="A34" s="10" t="n">
        <v>30</v>
      </c>
      <c r="B34" s="11" t="s">
        <v>9</v>
      </c>
      <c r="C34" s="11" t="s">
        <v>143</v>
      </c>
      <c r="D34" s="12" t="s">
        <v>161</v>
      </c>
      <c r="E34" s="11" t="s">
        <v>162</v>
      </c>
      <c r="F34" s="11" t="s">
        <v>163</v>
      </c>
      <c r="G34" s="10" t="s">
        <v>137</v>
      </c>
      <c r="H34" s="10" t="s">
        <v>14</v>
      </c>
      <c r="I34" s="11"/>
      <c r="J34" s="11" t="s">
        <v>164</v>
      </c>
      <c r="K34" s="13"/>
      <c r="L34" s="11" t="s">
        <v>32</v>
      </c>
    </row>
    <row r="35" customFormat="false" ht="18" hidden="false" customHeight="true" outlineLevel="0" collapsed="false">
      <c r="A35" s="10" t="n">
        <v>31</v>
      </c>
      <c r="B35" s="11" t="s">
        <v>9</v>
      </c>
      <c r="C35" s="11" t="s">
        <v>165</v>
      </c>
      <c r="D35" s="12" t="s">
        <v>166</v>
      </c>
      <c r="E35" s="11" t="s">
        <v>167</v>
      </c>
      <c r="F35" s="11" t="s">
        <v>168</v>
      </c>
      <c r="G35" s="10" t="s">
        <v>97</v>
      </c>
      <c r="H35" s="10" t="s">
        <v>8</v>
      </c>
      <c r="I35" s="11" t="s">
        <v>154</v>
      </c>
      <c r="J35" s="11"/>
      <c r="K35" s="13"/>
      <c r="L35" s="11" t="s">
        <v>32</v>
      </c>
    </row>
    <row r="36" customFormat="false" ht="18" hidden="false" customHeight="true" outlineLevel="0" collapsed="false">
      <c r="A36" s="10" t="n">
        <v>32</v>
      </c>
      <c r="B36" s="11" t="s">
        <v>9</v>
      </c>
      <c r="C36" s="11" t="s">
        <v>165</v>
      </c>
      <c r="D36" s="12" t="s">
        <v>169</v>
      </c>
      <c r="E36" s="11" t="s">
        <v>170</v>
      </c>
      <c r="F36" s="11" t="s">
        <v>171</v>
      </c>
      <c r="G36" s="10" t="s">
        <v>69</v>
      </c>
      <c r="H36" s="10" t="s">
        <v>10</v>
      </c>
      <c r="I36" s="11" t="s">
        <v>154</v>
      </c>
      <c r="J36" s="11"/>
      <c r="K36" s="13"/>
      <c r="L36" s="11" t="s">
        <v>32</v>
      </c>
    </row>
    <row r="37" customFormat="false" ht="18" hidden="false" customHeight="true" outlineLevel="0" collapsed="false">
      <c r="A37" s="10" t="n">
        <v>33</v>
      </c>
      <c r="B37" s="11" t="s">
        <v>9</v>
      </c>
      <c r="C37" s="11" t="s">
        <v>165</v>
      </c>
      <c r="D37" s="12" t="s">
        <v>172</v>
      </c>
      <c r="E37" s="11" t="s">
        <v>173</v>
      </c>
      <c r="F37" s="11" t="s">
        <v>174</v>
      </c>
      <c r="G37" s="10" t="s">
        <v>69</v>
      </c>
      <c r="H37" s="10" t="s">
        <v>10</v>
      </c>
      <c r="I37" s="11"/>
      <c r="J37" s="11" t="s">
        <v>175</v>
      </c>
      <c r="K37" s="13"/>
      <c r="L37" s="11" t="s">
        <v>32</v>
      </c>
    </row>
    <row r="38" customFormat="false" ht="24.75" hidden="false" customHeight="true" outlineLevel="0" collapsed="false">
      <c r="A38" s="10" t="n">
        <v>34</v>
      </c>
      <c r="B38" s="11" t="s">
        <v>9</v>
      </c>
      <c r="C38" s="11" t="s">
        <v>165</v>
      </c>
      <c r="D38" s="12" t="s">
        <v>176</v>
      </c>
      <c r="E38" s="11" t="s">
        <v>177</v>
      </c>
      <c r="F38" s="11" t="s">
        <v>178</v>
      </c>
      <c r="G38" s="10" t="s">
        <v>97</v>
      </c>
      <c r="H38" s="10" t="s">
        <v>8</v>
      </c>
      <c r="I38" s="11"/>
      <c r="J38" s="11" t="s">
        <v>179</v>
      </c>
      <c r="K38" s="13"/>
      <c r="L38" s="11" t="s">
        <v>32</v>
      </c>
    </row>
    <row r="39" customFormat="false" ht="18" hidden="false" customHeight="true" outlineLevel="0" collapsed="false">
      <c r="A39" s="10" t="n">
        <v>35</v>
      </c>
      <c r="B39" s="11" t="s">
        <v>9</v>
      </c>
      <c r="C39" s="11" t="s">
        <v>165</v>
      </c>
      <c r="D39" s="12" t="s">
        <v>180</v>
      </c>
      <c r="E39" s="11" t="s">
        <v>181</v>
      </c>
      <c r="F39" s="11" t="s">
        <v>182</v>
      </c>
      <c r="G39" s="10" t="s">
        <v>137</v>
      </c>
      <c r="H39" s="10" t="s">
        <v>14</v>
      </c>
      <c r="I39" s="11"/>
      <c r="J39" s="11" t="s">
        <v>183</v>
      </c>
      <c r="K39" s="13"/>
      <c r="L39" s="11" t="s">
        <v>32</v>
      </c>
    </row>
    <row r="40" customFormat="false" ht="24.75" hidden="false" customHeight="true" outlineLevel="0" collapsed="false">
      <c r="A40" s="10" t="n">
        <v>36</v>
      </c>
      <c r="B40" s="11" t="s">
        <v>9</v>
      </c>
      <c r="C40" s="11" t="s">
        <v>165</v>
      </c>
      <c r="D40" s="12" t="s">
        <v>184</v>
      </c>
      <c r="E40" s="11" t="s">
        <v>185</v>
      </c>
      <c r="F40" s="11" t="s">
        <v>186</v>
      </c>
      <c r="G40" s="10" t="s">
        <v>69</v>
      </c>
      <c r="H40" s="10" t="s">
        <v>10</v>
      </c>
      <c r="I40" s="11" t="s">
        <v>54</v>
      </c>
      <c r="J40" s="11"/>
      <c r="K40" s="13"/>
      <c r="L40" s="11" t="s">
        <v>32</v>
      </c>
    </row>
    <row r="41" customFormat="false" ht="18" hidden="false" customHeight="true" outlineLevel="0" collapsed="false">
      <c r="A41" s="10" t="n">
        <v>37</v>
      </c>
      <c r="B41" s="11" t="s">
        <v>9</v>
      </c>
      <c r="C41" s="11" t="s">
        <v>165</v>
      </c>
      <c r="D41" s="12" t="s">
        <v>187</v>
      </c>
      <c r="E41" s="11" t="s">
        <v>188</v>
      </c>
      <c r="F41" s="11" t="s">
        <v>189</v>
      </c>
      <c r="G41" s="10" t="s">
        <v>69</v>
      </c>
      <c r="H41" s="10" t="s">
        <v>10</v>
      </c>
      <c r="I41" s="11" t="s">
        <v>54</v>
      </c>
      <c r="J41" s="11"/>
      <c r="K41" s="13"/>
      <c r="L41" s="11" t="s">
        <v>32</v>
      </c>
    </row>
    <row r="42" customFormat="false" ht="18" hidden="false" customHeight="true" outlineLevel="0" collapsed="false">
      <c r="A42" s="10" t="n">
        <v>38</v>
      </c>
      <c r="B42" s="11" t="s">
        <v>11</v>
      </c>
      <c r="C42" s="11" t="s">
        <v>190</v>
      </c>
      <c r="D42" s="12" t="s">
        <v>191</v>
      </c>
      <c r="E42" s="11" t="s">
        <v>192</v>
      </c>
      <c r="F42" s="11" t="s">
        <v>193</v>
      </c>
      <c r="G42" s="10" t="s">
        <v>97</v>
      </c>
      <c r="H42" s="10" t="s">
        <v>8</v>
      </c>
      <c r="I42" s="11" t="s">
        <v>62</v>
      </c>
      <c r="J42" s="11" t="s">
        <v>108</v>
      </c>
      <c r="K42" s="13"/>
      <c r="L42" s="11" t="s">
        <v>32</v>
      </c>
    </row>
    <row r="43" customFormat="false" ht="18" hidden="false" customHeight="true" outlineLevel="0" collapsed="false">
      <c r="A43" s="10" t="n">
        <v>39</v>
      </c>
      <c r="B43" s="11" t="s">
        <v>11</v>
      </c>
      <c r="C43" s="11" t="s">
        <v>190</v>
      </c>
      <c r="D43" s="12" t="s">
        <v>194</v>
      </c>
      <c r="E43" s="11" t="s">
        <v>195</v>
      </c>
      <c r="F43" s="11" t="s">
        <v>196</v>
      </c>
      <c r="G43" s="10" t="s">
        <v>137</v>
      </c>
      <c r="H43" s="10" t="s">
        <v>14</v>
      </c>
      <c r="I43" s="11"/>
      <c r="J43" s="11" t="s">
        <v>197</v>
      </c>
      <c r="K43" s="13"/>
      <c r="L43" s="11" t="s">
        <v>32</v>
      </c>
    </row>
    <row r="44" customFormat="false" ht="18" hidden="false" customHeight="true" outlineLevel="0" collapsed="false">
      <c r="A44" s="10" t="n">
        <v>40</v>
      </c>
      <c r="B44" s="11" t="s">
        <v>11</v>
      </c>
      <c r="C44" s="11" t="s">
        <v>190</v>
      </c>
      <c r="D44" s="12" t="s">
        <v>198</v>
      </c>
      <c r="E44" s="11" t="s">
        <v>199</v>
      </c>
      <c r="F44" s="11" t="s">
        <v>200</v>
      </c>
      <c r="G44" s="10" t="s">
        <v>97</v>
      </c>
      <c r="H44" s="10" t="s">
        <v>8</v>
      </c>
      <c r="I44" s="11" t="s">
        <v>62</v>
      </c>
      <c r="J44" s="11" t="s">
        <v>114</v>
      </c>
      <c r="K44" s="13"/>
      <c r="L44" s="11" t="s">
        <v>32</v>
      </c>
    </row>
    <row r="45" customFormat="false" ht="18" hidden="false" customHeight="true" outlineLevel="0" collapsed="false">
      <c r="A45" s="10" t="n">
        <v>41</v>
      </c>
      <c r="B45" s="11" t="s">
        <v>11</v>
      </c>
      <c r="C45" s="11" t="s">
        <v>190</v>
      </c>
      <c r="D45" s="12" t="s">
        <v>201</v>
      </c>
      <c r="E45" s="11" t="s">
        <v>202</v>
      </c>
      <c r="F45" s="11" t="s">
        <v>203</v>
      </c>
      <c r="G45" s="10" t="s">
        <v>137</v>
      </c>
      <c r="H45" s="10" t="s">
        <v>14</v>
      </c>
      <c r="I45" s="11"/>
      <c r="J45" s="11" t="s">
        <v>204</v>
      </c>
      <c r="K45" s="13"/>
      <c r="L45" s="11" t="s">
        <v>32</v>
      </c>
    </row>
    <row r="46" customFormat="false" ht="18" hidden="false" customHeight="true" outlineLevel="0" collapsed="false">
      <c r="A46" s="10" t="n">
        <v>42</v>
      </c>
      <c r="B46" s="11" t="s">
        <v>11</v>
      </c>
      <c r="C46" s="11" t="s">
        <v>190</v>
      </c>
      <c r="D46" s="12" t="s">
        <v>205</v>
      </c>
      <c r="E46" s="11" t="s">
        <v>206</v>
      </c>
      <c r="F46" s="11" t="s">
        <v>207</v>
      </c>
      <c r="G46" s="10" t="s">
        <v>69</v>
      </c>
      <c r="H46" s="10" t="s">
        <v>10</v>
      </c>
      <c r="I46" s="11" t="s">
        <v>62</v>
      </c>
      <c r="J46" s="11" t="s">
        <v>120</v>
      </c>
      <c r="K46" s="13"/>
      <c r="L46" s="11" t="s">
        <v>32</v>
      </c>
    </row>
    <row r="47" customFormat="false" ht="18" hidden="false" customHeight="true" outlineLevel="0" collapsed="false">
      <c r="A47" s="10" t="n">
        <v>43</v>
      </c>
      <c r="B47" s="11" t="s">
        <v>11</v>
      </c>
      <c r="C47" s="11" t="s">
        <v>190</v>
      </c>
      <c r="D47" s="12" t="s">
        <v>208</v>
      </c>
      <c r="E47" s="11" t="s">
        <v>209</v>
      </c>
      <c r="F47" s="11" t="s">
        <v>210</v>
      </c>
      <c r="G47" s="10" t="s">
        <v>137</v>
      </c>
      <c r="H47" s="10" t="s">
        <v>14</v>
      </c>
      <c r="I47" s="11"/>
      <c r="J47" s="11" t="s">
        <v>211</v>
      </c>
      <c r="K47" s="13"/>
      <c r="L47" s="11" t="s">
        <v>32</v>
      </c>
    </row>
    <row r="48" customFormat="false" ht="24.75" hidden="false" customHeight="true" outlineLevel="0" collapsed="false">
      <c r="A48" s="10" t="n">
        <v>44</v>
      </c>
      <c r="B48" s="11" t="s">
        <v>11</v>
      </c>
      <c r="C48" s="11" t="s">
        <v>212</v>
      </c>
      <c r="D48" s="12" t="s">
        <v>213</v>
      </c>
      <c r="E48" s="11" t="s">
        <v>214</v>
      </c>
      <c r="F48" s="11" t="s">
        <v>215</v>
      </c>
      <c r="G48" s="10" t="s">
        <v>97</v>
      </c>
      <c r="H48" s="10" t="s">
        <v>8</v>
      </c>
      <c r="I48" s="11" t="s">
        <v>62</v>
      </c>
      <c r="J48" s="11" t="s">
        <v>108</v>
      </c>
      <c r="K48" s="13"/>
      <c r="L48" s="11" t="s">
        <v>32</v>
      </c>
    </row>
    <row r="49" customFormat="false" ht="24.75" hidden="false" customHeight="true" outlineLevel="0" collapsed="false">
      <c r="A49" s="10" t="n">
        <v>45</v>
      </c>
      <c r="B49" s="11" t="s">
        <v>11</v>
      </c>
      <c r="C49" s="11" t="s">
        <v>212</v>
      </c>
      <c r="D49" s="12" t="s">
        <v>216</v>
      </c>
      <c r="E49" s="11" t="s">
        <v>217</v>
      </c>
      <c r="F49" s="11" t="s">
        <v>218</v>
      </c>
      <c r="G49" s="10" t="s">
        <v>97</v>
      </c>
      <c r="H49" s="10" t="s">
        <v>8</v>
      </c>
      <c r="I49" s="11" t="s">
        <v>62</v>
      </c>
      <c r="J49" s="11" t="s">
        <v>108</v>
      </c>
      <c r="K49" s="13"/>
      <c r="L49" s="11" t="s">
        <v>32</v>
      </c>
    </row>
    <row r="50" customFormat="false" ht="24.75" hidden="false" customHeight="true" outlineLevel="0" collapsed="false">
      <c r="A50" s="10" t="n">
        <v>46</v>
      </c>
      <c r="B50" s="11" t="s">
        <v>11</v>
      </c>
      <c r="C50" s="11" t="s">
        <v>212</v>
      </c>
      <c r="D50" s="12" t="s">
        <v>219</v>
      </c>
      <c r="E50" s="11" t="s">
        <v>220</v>
      </c>
      <c r="F50" s="11" t="s">
        <v>221</v>
      </c>
      <c r="G50" s="10" t="s">
        <v>74</v>
      </c>
      <c r="H50" s="10" t="s">
        <v>8</v>
      </c>
      <c r="I50" s="11"/>
      <c r="J50" s="11" t="s">
        <v>222</v>
      </c>
      <c r="K50" s="13"/>
      <c r="L50" s="11" t="s">
        <v>32</v>
      </c>
    </row>
    <row r="51" customFormat="false" ht="24.75" hidden="false" customHeight="true" outlineLevel="0" collapsed="false">
      <c r="A51" s="10" t="n">
        <v>47</v>
      </c>
      <c r="B51" s="11" t="s">
        <v>11</v>
      </c>
      <c r="C51" s="11" t="s">
        <v>212</v>
      </c>
      <c r="D51" s="12" t="s">
        <v>223</v>
      </c>
      <c r="E51" s="11" t="s">
        <v>224</v>
      </c>
      <c r="F51" s="11" t="s">
        <v>225</v>
      </c>
      <c r="G51" s="10" t="s">
        <v>137</v>
      </c>
      <c r="H51" s="10" t="s">
        <v>14</v>
      </c>
      <c r="I51" s="11" t="s">
        <v>62</v>
      </c>
      <c r="J51" s="11" t="s">
        <v>108</v>
      </c>
      <c r="K51" s="13"/>
      <c r="L51" s="11" t="s">
        <v>32</v>
      </c>
    </row>
    <row r="52" customFormat="false" ht="24.75" hidden="false" customHeight="true" outlineLevel="0" collapsed="false">
      <c r="A52" s="10" t="n">
        <v>48</v>
      </c>
      <c r="B52" s="11" t="s">
        <v>11</v>
      </c>
      <c r="C52" s="11" t="s">
        <v>226</v>
      </c>
      <c r="D52" s="12" t="s">
        <v>227</v>
      </c>
      <c r="E52" s="11" t="s">
        <v>228</v>
      </c>
      <c r="F52" s="11" t="s">
        <v>229</v>
      </c>
      <c r="G52" s="10" t="s">
        <v>97</v>
      </c>
      <c r="H52" s="10" t="s">
        <v>8</v>
      </c>
      <c r="I52" s="11" t="s">
        <v>62</v>
      </c>
      <c r="J52" s="11" t="s">
        <v>108</v>
      </c>
      <c r="K52" s="13"/>
      <c r="L52" s="11" t="s">
        <v>32</v>
      </c>
    </row>
    <row r="53" customFormat="false" ht="18" hidden="false" customHeight="true" outlineLevel="0" collapsed="false">
      <c r="A53" s="10" t="n">
        <v>49</v>
      </c>
      <c r="B53" s="11" t="s">
        <v>11</v>
      </c>
      <c r="C53" s="11" t="s">
        <v>226</v>
      </c>
      <c r="D53" s="12" t="s">
        <v>230</v>
      </c>
      <c r="E53" s="11" t="s">
        <v>231</v>
      </c>
      <c r="F53" s="11" t="s">
        <v>232</v>
      </c>
      <c r="G53" s="10" t="s">
        <v>97</v>
      </c>
      <c r="H53" s="10" t="s">
        <v>8</v>
      </c>
      <c r="I53" s="11" t="s">
        <v>62</v>
      </c>
      <c r="J53" s="11" t="s">
        <v>114</v>
      </c>
      <c r="K53" s="13"/>
      <c r="L53" s="11" t="s">
        <v>32</v>
      </c>
    </row>
    <row r="54" customFormat="false" ht="18" hidden="false" customHeight="true" outlineLevel="0" collapsed="false">
      <c r="A54" s="10" t="n">
        <v>50</v>
      </c>
      <c r="B54" s="11" t="s">
        <v>11</v>
      </c>
      <c r="C54" s="11" t="s">
        <v>226</v>
      </c>
      <c r="D54" s="12" t="s">
        <v>233</v>
      </c>
      <c r="E54" s="11" t="s">
        <v>234</v>
      </c>
      <c r="F54" s="11" t="s">
        <v>235</v>
      </c>
      <c r="G54" s="10" t="s">
        <v>97</v>
      </c>
      <c r="H54" s="10" t="s">
        <v>8</v>
      </c>
      <c r="I54" s="11" t="s">
        <v>62</v>
      </c>
      <c r="J54" s="11" t="s">
        <v>108</v>
      </c>
      <c r="K54" s="13"/>
      <c r="L54" s="11" t="s">
        <v>32</v>
      </c>
    </row>
    <row r="55" customFormat="false" ht="24.75" hidden="false" customHeight="true" outlineLevel="0" collapsed="false">
      <c r="A55" s="10" t="n">
        <v>51</v>
      </c>
      <c r="B55" s="11" t="s">
        <v>11</v>
      </c>
      <c r="C55" s="11" t="s">
        <v>226</v>
      </c>
      <c r="D55" s="12" t="s">
        <v>236</v>
      </c>
      <c r="E55" s="11" t="s">
        <v>237</v>
      </c>
      <c r="F55" s="11" t="s">
        <v>238</v>
      </c>
      <c r="G55" s="10" t="s">
        <v>137</v>
      </c>
      <c r="H55" s="10" t="s">
        <v>14</v>
      </c>
      <c r="I55" s="11"/>
      <c r="J55" s="11" t="s">
        <v>239</v>
      </c>
      <c r="K55" s="13"/>
      <c r="L55" s="11" t="s">
        <v>32</v>
      </c>
    </row>
    <row r="56" customFormat="false" ht="18" hidden="false" customHeight="true" outlineLevel="0" collapsed="false">
      <c r="A56" s="10" t="n">
        <v>52</v>
      </c>
      <c r="B56" s="11" t="s">
        <v>11</v>
      </c>
      <c r="C56" s="11" t="s">
        <v>240</v>
      </c>
      <c r="D56" s="12" t="s">
        <v>241</v>
      </c>
      <c r="E56" s="11" t="s">
        <v>242</v>
      </c>
      <c r="F56" s="11" t="s">
        <v>243</v>
      </c>
      <c r="G56" s="10" t="s">
        <v>97</v>
      </c>
      <c r="H56" s="10" t="s">
        <v>8</v>
      </c>
      <c r="I56" s="11" t="s">
        <v>62</v>
      </c>
      <c r="J56" s="11" t="s">
        <v>108</v>
      </c>
      <c r="K56" s="13"/>
      <c r="L56" s="11" t="s">
        <v>32</v>
      </c>
    </row>
    <row r="57" customFormat="false" ht="24.75" hidden="false" customHeight="true" outlineLevel="0" collapsed="false">
      <c r="A57" s="10" t="n">
        <v>53</v>
      </c>
      <c r="B57" s="11" t="s">
        <v>11</v>
      </c>
      <c r="C57" s="11" t="s">
        <v>240</v>
      </c>
      <c r="D57" s="12" t="s">
        <v>244</v>
      </c>
      <c r="E57" s="11" t="s">
        <v>245</v>
      </c>
      <c r="F57" s="11" t="s">
        <v>246</v>
      </c>
      <c r="G57" s="10" t="s">
        <v>137</v>
      </c>
      <c r="H57" s="10" t="s">
        <v>14</v>
      </c>
      <c r="I57" s="11"/>
      <c r="J57" s="11" t="s">
        <v>247</v>
      </c>
      <c r="K57" s="18" t="n">
        <v>0.2898</v>
      </c>
      <c r="L57" s="11" t="s">
        <v>32</v>
      </c>
    </row>
    <row r="58" customFormat="false" ht="18" hidden="false" customHeight="true" outlineLevel="0" collapsed="false">
      <c r="A58" s="10" t="n">
        <v>54</v>
      </c>
      <c r="B58" s="11" t="s">
        <v>11</v>
      </c>
      <c r="C58" s="11" t="s">
        <v>240</v>
      </c>
      <c r="D58" s="12" t="s">
        <v>248</v>
      </c>
      <c r="E58" s="11" t="s">
        <v>249</v>
      </c>
      <c r="F58" s="11" t="s">
        <v>250</v>
      </c>
      <c r="G58" s="10" t="s">
        <v>97</v>
      </c>
      <c r="H58" s="10" t="s">
        <v>8</v>
      </c>
      <c r="I58" s="11" t="s">
        <v>62</v>
      </c>
      <c r="J58" s="11" t="s">
        <v>114</v>
      </c>
      <c r="K58" s="13"/>
      <c r="L58" s="11" t="s">
        <v>32</v>
      </c>
    </row>
    <row r="59" customFormat="false" ht="24.75" hidden="false" customHeight="true" outlineLevel="0" collapsed="false">
      <c r="A59" s="10" t="n">
        <v>55</v>
      </c>
      <c r="B59" s="11" t="s">
        <v>11</v>
      </c>
      <c r="C59" s="11" t="s">
        <v>240</v>
      </c>
      <c r="D59" s="12" t="s">
        <v>251</v>
      </c>
      <c r="E59" s="11" t="s">
        <v>252</v>
      </c>
      <c r="F59" s="11" t="s">
        <v>253</v>
      </c>
      <c r="G59" s="10" t="s">
        <v>137</v>
      </c>
      <c r="H59" s="10" t="s">
        <v>14</v>
      </c>
      <c r="I59" s="11"/>
      <c r="J59" s="11" t="s">
        <v>254</v>
      </c>
      <c r="K59" s="18" t="n">
        <v>0.2989</v>
      </c>
      <c r="L59" s="11" t="s">
        <v>32</v>
      </c>
    </row>
    <row r="60" customFormat="false" ht="18" hidden="false" customHeight="true" outlineLevel="0" collapsed="false">
      <c r="A60" s="10" t="n">
        <v>56</v>
      </c>
      <c r="B60" s="11" t="s">
        <v>11</v>
      </c>
      <c r="C60" s="11" t="s">
        <v>240</v>
      </c>
      <c r="D60" s="12" t="s">
        <v>255</v>
      </c>
      <c r="E60" s="11" t="s">
        <v>256</v>
      </c>
      <c r="F60" s="11" t="s">
        <v>257</v>
      </c>
      <c r="G60" s="10" t="s">
        <v>69</v>
      </c>
      <c r="H60" s="10" t="s">
        <v>10</v>
      </c>
      <c r="I60" s="11" t="s">
        <v>62</v>
      </c>
      <c r="J60" s="11" t="s">
        <v>120</v>
      </c>
      <c r="K60" s="13"/>
      <c r="L60" s="11" t="s">
        <v>32</v>
      </c>
    </row>
    <row r="61" customFormat="false" ht="24.75" hidden="false" customHeight="true" outlineLevel="0" collapsed="false">
      <c r="A61" s="10" t="n">
        <v>57</v>
      </c>
      <c r="B61" s="11" t="s">
        <v>11</v>
      </c>
      <c r="C61" s="11" t="s">
        <v>240</v>
      </c>
      <c r="D61" s="12" t="s">
        <v>258</v>
      </c>
      <c r="E61" s="11" t="s">
        <v>259</v>
      </c>
      <c r="F61" s="11" t="s">
        <v>260</v>
      </c>
      <c r="G61" s="10" t="s">
        <v>137</v>
      </c>
      <c r="H61" s="10" t="s">
        <v>14</v>
      </c>
      <c r="I61" s="11"/>
      <c r="J61" s="11" t="s">
        <v>261</v>
      </c>
      <c r="K61" s="18" t="n">
        <v>0.2991</v>
      </c>
      <c r="L61" s="11" t="s">
        <v>32</v>
      </c>
    </row>
    <row r="62" customFormat="false" ht="18" hidden="false" customHeight="true" outlineLevel="0" collapsed="false">
      <c r="A62" s="10" t="n">
        <v>58</v>
      </c>
      <c r="B62" s="11" t="s">
        <v>11</v>
      </c>
      <c r="C62" s="11" t="s">
        <v>240</v>
      </c>
      <c r="D62" s="12" t="s">
        <v>262</v>
      </c>
      <c r="E62" s="11" t="s">
        <v>263</v>
      </c>
      <c r="F62" s="11" t="s">
        <v>264</v>
      </c>
      <c r="G62" s="10" t="s">
        <v>74</v>
      </c>
      <c r="H62" s="10" t="s">
        <v>8</v>
      </c>
      <c r="I62" s="11" t="s">
        <v>62</v>
      </c>
      <c r="J62" s="11" t="s">
        <v>71</v>
      </c>
      <c r="K62" s="13"/>
      <c r="L62" s="11" t="s">
        <v>32</v>
      </c>
    </row>
    <row r="63" customFormat="false" ht="18" hidden="false" customHeight="true" outlineLevel="0" collapsed="false">
      <c r="A63" s="10" t="n">
        <v>59</v>
      </c>
      <c r="B63" s="11" t="s">
        <v>11</v>
      </c>
      <c r="C63" s="11" t="s">
        <v>240</v>
      </c>
      <c r="D63" s="12" t="s">
        <v>265</v>
      </c>
      <c r="E63" s="11" t="s">
        <v>266</v>
      </c>
      <c r="F63" s="11" t="s">
        <v>267</v>
      </c>
      <c r="G63" s="10" t="s">
        <v>137</v>
      </c>
      <c r="H63" s="10" t="s">
        <v>14</v>
      </c>
      <c r="I63" s="11"/>
      <c r="J63" s="11" t="s">
        <v>268</v>
      </c>
      <c r="K63" s="18" t="n">
        <v>-0.0072</v>
      </c>
      <c r="L63" s="11" t="s">
        <v>32</v>
      </c>
    </row>
    <row r="64" customFormat="false" ht="18" hidden="false" customHeight="true" outlineLevel="0" collapsed="false">
      <c r="A64" s="10" t="n">
        <v>60</v>
      </c>
      <c r="B64" s="11" t="s">
        <v>11</v>
      </c>
      <c r="C64" s="11" t="s">
        <v>240</v>
      </c>
      <c r="D64" s="12" t="s">
        <v>269</v>
      </c>
      <c r="E64" s="11" t="s">
        <v>270</v>
      </c>
      <c r="F64" s="11" t="s">
        <v>271</v>
      </c>
      <c r="G64" s="10" t="s">
        <v>69</v>
      </c>
      <c r="H64" s="10" t="s">
        <v>10</v>
      </c>
      <c r="I64" s="11" t="s">
        <v>62</v>
      </c>
      <c r="J64" s="11" t="s">
        <v>272</v>
      </c>
      <c r="K64" s="13"/>
      <c r="L64" s="11" t="s">
        <v>32</v>
      </c>
    </row>
    <row r="65" customFormat="false" ht="24.75" hidden="false" customHeight="true" outlineLevel="0" collapsed="false">
      <c r="A65" s="10" t="n">
        <v>61</v>
      </c>
      <c r="B65" s="11" t="s">
        <v>11</v>
      </c>
      <c r="C65" s="11" t="s">
        <v>240</v>
      </c>
      <c r="D65" s="12" t="s">
        <v>273</v>
      </c>
      <c r="E65" s="11" t="s">
        <v>274</v>
      </c>
      <c r="F65" s="11" t="s">
        <v>275</v>
      </c>
      <c r="G65" s="10" t="s">
        <v>137</v>
      </c>
      <c r="H65" s="10" t="s">
        <v>14</v>
      </c>
      <c r="I65" s="11"/>
      <c r="J65" s="11" t="s">
        <v>276</v>
      </c>
      <c r="K65" s="17" t="n">
        <v>0.312</v>
      </c>
      <c r="L65" s="11" t="s">
        <v>32</v>
      </c>
    </row>
    <row r="66" customFormat="false" ht="18" hidden="false" customHeight="true" outlineLevel="0" collapsed="false">
      <c r="A66" s="10" t="n">
        <v>62</v>
      </c>
      <c r="B66" s="11" t="s">
        <v>11</v>
      </c>
      <c r="C66" s="11" t="s">
        <v>240</v>
      </c>
      <c r="D66" s="12" t="s">
        <v>277</v>
      </c>
      <c r="E66" s="11" t="s">
        <v>278</v>
      </c>
      <c r="F66" s="11" t="s">
        <v>279</v>
      </c>
      <c r="G66" s="10" t="s">
        <v>137</v>
      </c>
      <c r="H66" s="10" t="s">
        <v>14</v>
      </c>
      <c r="I66" s="11" t="s">
        <v>62</v>
      </c>
      <c r="J66" s="11" t="s">
        <v>134</v>
      </c>
      <c r="K66" s="13"/>
      <c r="L66" s="11" t="s">
        <v>32</v>
      </c>
    </row>
    <row r="67" customFormat="false" ht="24.75" hidden="false" customHeight="true" outlineLevel="0" collapsed="false">
      <c r="A67" s="10" t="n">
        <v>63</v>
      </c>
      <c r="B67" s="11" t="s">
        <v>11</v>
      </c>
      <c r="C67" s="11" t="s">
        <v>240</v>
      </c>
      <c r="D67" s="12" t="s">
        <v>280</v>
      </c>
      <c r="E67" s="11" t="s">
        <v>281</v>
      </c>
      <c r="F67" s="11" t="s">
        <v>282</v>
      </c>
      <c r="G67" s="10" t="s">
        <v>137</v>
      </c>
      <c r="H67" s="10" t="s">
        <v>14</v>
      </c>
      <c r="I67" s="11"/>
      <c r="J67" s="11" t="s">
        <v>283</v>
      </c>
      <c r="K67" s="13"/>
      <c r="L67" s="11" t="s">
        <v>32</v>
      </c>
    </row>
    <row r="68" customFormat="false" ht="24.75" hidden="false" customHeight="true" outlineLevel="0" collapsed="false">
      <c r="A68" s="10" t="n">
        <v>64</v>
      </c>
      <c r="B68" s="11" t="s">
        <v>13</v>
      </c>
      <c r="C68" s="11" t="s">
        <v>284</v>
      </c>
      <c r="D68" s="12" t="s">
        <v>285</v>
      </c>
      <c r="E68" s="11" t="s">
        <v>286</v>
      </c>
      <c r="F68" s="11" t="s">
        <v>287</v>
      </c>
      <c r="G68" s="10" t="s">
        <v>58</v>
      </c>
      <c r="H68" s="10" t="s">
        <v>22</v>
      </c>
      <c r="I68" s="11"/>
      <c r="J68" s="11" t="s">
        <v>244</v>
      </c>
      <c r="K68" s="13"/>
      <c r="L68" s="11" t="s">
        <v>32</v>
      </c>
    </row>
    <row r="69" customFormat="false" ht="24.75" hidden="false" customHeight="true" outlineLevel="0" collapsed="false">
      <c r="A69" s="10" t="n">
        <v>65</v>
      </c>
      <c r="B69" s="11" t="s">
        <v>13</v>
      </c>
      <c r="C69" s="11" t="s">
        <v>284</v>
      </c>
      <c r="D69" s="12" t="s">
        <v>288</v>
      </c>
      <c r="E69" s="11" t="s">
        <v>289</v>
      </c>
      <c r="F69" s="11" t="s">
        <v>290</v>
      </c>
      <c r="G69" s="10" t="s">
        <v>58</v>
      </c>
      <c r="H69" s="10" t="s">
        <v>22</v>
      </c>
      <c r="I69" s="11"/>
      <c r="J69" s="11" t="s">
        <v>251</v>
      </c>
      <c r="K69" s="13"/>
      <c r="L69" s="11" t="s">
        <v>32</v>
      </c>
    </row>
    <row r="70" customFormat="false" ht="24.75" hidden="false" customHeight="true" outlineLevel="0" collapsed="false">
      <c r="A70" s="10" t="n">
        <v>66</v>
      </c>
      <c r="B70" s="11" t="s">
        <v>13</v>
      </c>
      <c r="C70" s="11" t="s">
        <v>284</v>
      </c>
      <c r="D70" s="12" t="s">
        <v>291</v>
      </c>
      <c r="E70" s="11" t="s">
        <v>292</v>
      </c>
      <c r="F70" s="11" t="s">
        <v>293</v>
      </c>
      <c r="G70" s="10" t="s">
        <v>58</v>
      </c>
      <c r="H70" s="10" t="s">
        <v>22</v>
      </c>
      <c r="I70" s="11"/>
      <c r="J70" s="11" t="s">
        <v>258</v>
      </c>
      <c r="K70" s="13"/>
      <c r="L70" s="11" t="s">
        <v>32</v>
      </c>
    </row>
    <row r="71" customFormat="false" ht="24.75" hidden="false" customHeight="true" outlineLevel="0" collapsed="false">
      <c r="A71" s="10" t="n">
        <v>67</v>
      </c>
      <c r="B71" s="11" t="s">
        <v>13</v>
      </c>
      <c r="C71" s="11" t="s">
        <v>284</v>
      </c>
      <c r="D71" s="12" t="s">
        <v>294</v>
      </c>
      <c r="E71" s="11" t="s">
        <v>295</v>
      </c>
      <c r="F71" s="11" t="s">
        <v>296</v>
      </c>
      <c r="G71" s="10" t="s">
        <v>58</v>
      </c>
      <c r="H71" s="10" t="s">
        <v>22</v>
      </c>
      <c r="I71" s="11"/>
      <c r="J71" s="11" t="s">
        <v>265</v>
      </c>
      <c r="K71" s="13"/>
      <c r="L71" s="11" t="s">
        <v>32</v>
      </c>
    </row>
    <row r="72" customFormat="false" ht="24.75" hidden="false" customHeight="true" outlineLevel="0" collapsed="false">
      <c r="A72" s="10" t="n">
        <v>68</v>
      </c>
      <c r="B72" s="11" t="s">
        <v>13</v>
      </c>
      <c r="C72" s="11" t="s">
        <v>284</v>
      </c>
      <c r="D72" s="12" t="s">
        <v>297</v>
      </c>
      <c r="E72" s="11" t="s">
        <v>298</v>
      </c>
      <c r="F72" s="11" t="s">
        <v>299</v>
      </c>
      <c r="G72" s="10" t="s">
        <v>58</v>
      </c>
      <c r="H72" s="10" t="s">
        <v>22</v>
      </c>
      <c r="I72" s="11"/>
      <c r="J72" s="11" t="s">
        <v>273</v>
      </c>
      <c r="K72" s="13"/>
      <c r="L72" s="11" t="s">
        <v>32</v>
      </c>
    </row>
    <row r="73" customFormat="false" ht="24.75" hidden="false" customHeight="true" outlineLevel="0" collapsed="false">
      <c r="A73" s="10" t="n">
        <v>69</v>
      </c>
      <c r="B73" s="11" t="s">
        <v>13</v>
      </c>
      <c r="C73" s="11" t="s">
        <v>284</v>
      </c>
      <c r="D73" s="12" t="s">
        <v>300</v>
      </c>
      <c r="E73" s="11" t="s">
        <v>301</v>
      </c>
      <c r="F73" s="11" t="s">
        <v>302</v>
      </c>
      <c r="G73" s="10" t="s">
        <v>58</v>
      </c>
      <c r="H73" s="10" t="s">
        <v>22</v>
      </c>
      <c r="I73" s="11"/>
      <c r="J73" s="11" t="s">
        <v>280</v>
      </c>
      <c r="K73" s="13"/>
      <c r="L73" s="11" t="s">
        <v>32</v>
      </c>
    </row>
    <row r="74" customFormat="false" ht="24.75" hidden="false" customHeight="true" outlineLevel="0" collapsed="false">
      <c r="A74" s="10" t="n">
        <v>70</v>
      </c>
      <c r="B74" s="11" t="s">
        <v>13</v>
      </c>
      <c r="C74" s="11" t="s">
        <v>284</v>
      </c>
      <c r="D74" s="12" t="s">
        <v>303</v>
      </c>
      <c r="E74" s="11" t="s">
        <v>304</v>
      </c>
      <c r="F74" s="11" t="s">
        <v>305</v>
      </c>
      <c r="G74" s="10" t="s">
        <v>58</v>
      </c>
      <c r="H74" s="10" t="s">
        <v>22</v>
      </c>
      <c r="I74" s="11"/>
      <c r="J74" s="11" t="s">
        <v>180</v>
      </c>
      <c r="K74" s="13"/>
      <c r="L74" s="11" t="s">
        <v>32</v>
      </c>
    </row>
    <row r="75" customFormat="false" ht="24.75" hidden="false" customHeight="true" outlineLevel="0" collapsed="false">
      <c r="A75" s="10" t="n">
        <v>71</v>
      </c>
      <c r="B75" s="11" t="s">
        <v>13</v>
      </c>
      <c r="C75" s="11" t="s">
        <v>284</v>
      </c>
      <c r="D75" s="12" t="s">
        <v>306</v>
      </c>
      <c r="E75" s="11" t="s">
        <v>307</v>
      </c>
      <c r="F75" s="11" t="s">
        <v>308</v>
      </c>
      <c r="G75" s="10" t="s">
        <v>58</v>
      </c>
      <c r="H75" s="10" t="s">
        <v>22</v>
      </c>
      <c r="I75" s="11"/>
      <c r="J75" s="11" t="s">
        <v>309</v>
      </c>
      <c r="K75" s="13"/>
      <c r="L75" s="11" t="s">
        <v>32</v>
      </c>
    </row>
    <row r="76" customFormat="false" ht="24.75" hidden="false" customHeight="true" outlineLevel="0" collapsed="false">
      <c r="A76" s="10" t="n">
        <v>72</v>
      </c>
      <c r="B76" s="11" t="s">
        <v>13</v>
      </c>
      <c r="C76" s="11" t="s">
        <v>284</v>
      </c>
      <c r="D76" s="12" t="s">
        <v>310</v>
      </c>
      <c r="E76" s="11" t="s">
        <v>304</v>
      </c>
      <c r="F76" s="11" t="s">
        <v>311</v>
      </c>
      <c r="G76" s="10" t="s">
        <v>58</v>
      </c>
      <c r="H76" s="10" t="s">
        <v>22</v>
      </c>
      <c r="I76" s="11"/>
      <c r="J76" s="11" t="s">
        <v>312</v>
      </c>
      <c r="K76" s="13"/>
      <c r="L76" s="11" t="s">
        <v>32</v>
      </c>
    </row>
    <row r="77" customFormat="false" ht="49.5" hidden="false" customHeight="true" outlineLevel="0" collapsed="false">
      <c r="A77" s="10" t="n">
        <v>73</v>
      </c>
      <c r="B77" s="11" t="s">
        <v>13</v>
      </c>
      <c r="C77" s="11" t="s">
        <v>313</v>
      </c>
      <c r="D77" s="12" t="s">
        <v>314</v>
      </c>
      <c r="E77" s="11" t="s">
        <v>315</v>
      </c>
      <c r="F77" s="11" t="s">
        <v>316</v>
      </c>
      <c r="G77" s="10" t="s">
        <v>58</v>
      </c>
      <c r="H77" s="10" t="s">
        <v>20</v>
      </c>
      <c r="I77" s="11"/>
      <c r="J77" s="11" t="s">
        <v>244</v>
      </c>
      <c r="K77" s="13"/>
      <c r="L77" s="11" t="s">
        <v>32</v>
      </c>
    </row>
    <row r="78" customFormat="false" ht="49.5" hidden="false" customHeight="true" outlineLevel="0" collapsed="false">
      <c r="A78" s="10" t="n">
        <v>74</v>
      </c>
      <c r="B78" s="11" t="s">
        <v>13</v>
      </c>
      <c r="C78" s="11" t="s">
        <v>313</v>
      </c>
      <c r="D78" s="12" t="s">
        <v>317</v>
      </c>
      <c r="E78" s="11" t="s">
        <v>318</v>
      </c>
      <c r="F78" s="11" t="s">
        <v>319</v>
      </c>
      <c r="G78" s="10" t="s">
        <v>58</v>
      </c>
      <c r="H78" s="10" t="s">
        <v>20</v>
      </c>
      <c r="I78" s="11"/>
      <c r="J78" s="11" t="s">
        <v>251</v>
      </c>
      <c r="K78" s="13"/>
      <c r="L78" s="11" t="s">
        <v>32</v>
      </c>
    </row>
    <row r="79" customFormat="false" ht="49.5" hidden="false" customHeight="true" outlineLevel="0" collapsed="false">
      <c r="A79" s="10" t="n">
        <v>75</v>
      </c>
      <c r="B79" s="11" t="s">
        <v>13</v>
      </c>
      <c r="C79" s="11" t="s">
        <v>313</v>
      </c>
      <c r="D79" s="12" t="s">
        <v>320</v>
      </c>
      <c r="E79" s="11" t="s">
        <v>321</v>
      </c>
      <c r="F79" s="11" t="s">
        <v>322</v>
      </c>
      <c r="G79" s="10" t="s">
        <v>58</v>
      </c>
      <c r="H79" s="10" t="s">
        <v>20</v>
      </c>
      <c r="I79" s="11"/>
      <c r="J79" s="11" t="s">
        <v>258</v>
      </c>
      <c r="K79" s="13"/>
      <c r="L79" s="11" t="s">
        <v>32</v>
      </c>
    </row>
    <row r="80" customFormat="false" ht="49.5" hidden="false" customHeight="true" outlineLevel="0" collapsed="false">
      <c r="A80" s="10" t="n">
        <v>76</v>
      </c>
      <c r="B80" s="11" t="s">
        <v>13</v>
      </c>
      <c r="C80" s="11" t="s">
        <v>313</v>
      </c>
      <c r="D80" s="12" t="s">
        <v>323</v>
      </c>
      <c r="E80" s="11" t="s">
        <v>324</v>
      </c>
      <c r="F80" s="11" t="s">
        <v>325</v>
      </c>
      <c r="G80" s="10" t="s">
        <v>58</v>
      </c>
      <c r="H80" s="10" t="s">
        <v>20</v>
      </c>
      <c r="I80" s="11"/>
      <c r="J80" s="11" t="s">
        <v>265</v>
      </c>
      <c r="K80" s="13"/>
      <c r="L80" s="11" t="s">
        <v>32</v>
      </c>
    </row>
    <row r="81" customFormat="false" ht="49.5" hidden="false" customHeight="true" outlineLevel="0" collapsed="false">
      <c r="A81" s="10" t="n">
        <v>77</v>
      </c>
      <c r="B81" s="11" t="s">
        <v>13</v>
      </c>
      <c r="C81" s="11" t="s">
        <v>313</v>
      </c>
      <c r="D81" s="12" t="s">
        <v>326</v>
      </c>
      <c r="E81" s="11" t="s">
        <v>327</v>
      </c>
      <c r="F81" s="11" t="s">
        <v>328</v>
      </c>
      <c r="G81" s="10" t="s">
        <v>58</v>
      </c>
      <c r="H81" s="10" t="s">
        <v>20</v>
      </c>
      <c r="I81" s="11"/>
      <c r="J81" s="11" t="s">
        <v>273</v>
      </c>
      <c r="K81" s="13"/>
      <c r="L81" s="11" t="s">
        <v>32</v>
      </c>
    </row>
    <row r="82" customFormat="false" ht="62.25" hidden="false" customHeight="true" outlineLevel="0" collapsed="false">
      <c r="A82" s="10" t="n">
        <v>78</v>
      </c>
      <c r="B82" s="11" t="s">
        <v>13</v>
      </c>
      <c r="C82" s="11" t="s">
        <v>313</v>
      </c>
      <c r="D82" s="12" t="s">
        <v>329</v>
      </c>
      <c r="E82" s="11" t="s">
        <v>330</v>
      </c>
      <c r="F82" s="11" t="s">
        <v>331</v>
      </c>
      <c r="G82" s="10" t="s">
        <v>58</v>
      </c>
      <c r="H82" s="10" t="s">
        <v>20</v>
      </c>
      <c r="I82" s="11"/>
      <c r="J82" s="11" t="s">
        <v>280</v>
      </c>
      <c r="K82" s="13"/>
      <c r="L82" s="11" t="s">
        <v>32</v>
      </c>
    </row>
    <row r="83" customFormat="false" ht="18" hidden="false" customHeight="true" outlineLevel="0" collapsed="false">
      <c r="A83" s="10" t="n">
        <v>79</v>
      </c>
      <c r="B83" s="11" t="s">
        <v>15</v>
      </c>
      <c r="C83" s="11" t="s">
        <v>332</v>
      </c>
      <c r="D83" s="12" t="s">
        <v>333</v>
      </c>
      <c r="E83" s="11" t="s">
        <v>334</v>
      </c>
      <c r="F83" s="11" t="s">
        <v>335</v>
      </c>
      <c r="G83" s="10" t="s">
        <v>69</v>
      </c>
      <c r="H83" s="10" t="s">
        <v>10</v>
      </c>
      <c r="I83" s="11" t="s">
        <v>62</v>
      </c>
      <c r="J83" s="11" t="s">
        <v>117</v>
      </c>
      <c r="K83" s="13"/>
      <c r="L83" s="11" t="s">
        <v>34</v>
      </c>
    </row>
    <row r="84" customFormat="false" ht="24.75" hidden="false" customHeight="true" outlineLevel="0" collapsed="false">
      <c r="A84" s="10" t="n">
        <v>80</v>
      </c>
      <c r="B84" s="11" t="s">
        <v>15</v>
      </c>
      <c r="C84" s="11" t="s">
        <v>332</v>
      </c>
      <c r="D84" s="12" t="s">
        <v>336</v>
      </c>
      <c r="E84" s="11" t="s">
        <v>337</v>
      </c>
      <c r="F84" s="11" t="s">
        <v>338</v>
      </c>
      <c r="G84" s="10" t="s">
        <v>137</v>
      </c>
      <c r="H84" s="10" t="s">
        <v>14</v>
      </c>
      <c r="I84" s="11"/>
      <c r="J84" s="11" t="s">
        <v>339</v>
      </c>
      <c r="K84" s="17" t="n">
        <v>0.289</v>
      </c>
      <c r="L84" s="11" t="s">
        <v>34</v>
      </c>
    </row>
    <row r="85" customFormat="false" ht="49.5" hidden="false" customHeight="true" outlineLevel="0" collapsed="false">
      <c r="A85" s="10" t="n">
        <v>81</v>
      </c>
      <c r="B85" s="11" t="s">
        <v>15</v>
      </c>
      <c r="C85" s="11" t="s">
        <v>332</v>
      </c>
      <c r="D85" s="12" t="s">
        <v>340</v>
      </c>
      <c r="E85" s="11" t="s">
        <v>341</v>
      </c>
      <c r="F85" s="11" t="s">
        <v>342</v>
      </c>
      <c r="G85" s="10" t="s">
        <v>58</v>
      </c>
      <c r="H85" s="10" t="s">
        <v>20</v>
      </c>
      <c r="I85" s="11"/>
      <c r="J85" s="11" t="s">
        <v>336</v>
      </c>
      <c r="K85" s="13"/>
      <c r="L85" s="11" t="s">
        <v>34</v>
      </c>
    </row>
    <row r="86" customFormat="false" ht="24.75" hidden="false" customHeight="true" outlineLevel="0" collapsed="false">
      <c r="A86" s="10" t="n">
        <v>82</v>
      </c>
      <c r="B86" s="11" t="s">
        <v>15</v>
      </c>
      <c r="C86" s="11" t="s">
        <v>332</v>
      </c>
      <c r="D86" s="12" t="s">
        <v>343</v>
      </c>
      <c r="E86" s="11" t="s">
        <v>344</v>
      </c>
      <c r="F86" s="11" t="s">
        <v>345</v>
      </c>
      <c r="G86" s="10" t="s">
        <v>58</v>
      </c>
      <c r="H86" s="10" t="s">
        <v>22</v>
      </c>
      <c r="I86" s="11"/>
      <c r="J86" s="11" t="s">
        <v>336</v>
      </c>
      <c r="K86" s="13"/>
      <c r="L86" s="11" t="s">
        <v>34</v>
      </c>
    </row>
    <row r="87" customFormat="false" ht="18" hidden="false" customHeight="true" outlineLevel="0" collapsed="false">
      <c r="A87" s="10" t="n">
        <v>83</v>
      </c>
      <c r="B87" s="11" t="s">
        <v>15</v>
      </c>
      <c r="C87" s="11" t="s">
        <v>332</v>
      </c>
      <c r="D87" s="12" t="s">
        <v>346</v>
      </c>
      <c r="E87" s="11" t="s">
        <v>347</v>
      </c>
      <c r="F87" s="11" t="s">
        <v>348</v>
      </c>
      <c r="G87" s="10" t="s">
        <v>137</v>
      </c>
      <c r="H87" s="10" t="s">
        <v>14</v>
      </c>
      <c r="I87" s="11" t="s">
        <v>62</v>
      </c>
      <c r="J87" s="11" t="s">
        <v>139</v>
      </c>
      <c r="K87" s="13"/>
      <c r="L87" s="11" t="s">
        <v>34</v>
      </c>
    </row>
    <row r="88" customFormat="false" ht="24.75" hidden="false" customHeight="true" outlineLevel="0" collapsed="false">
      <c r="A88" s="10" t="n">
        <v>84</v>
      </c>
      <c r="B88" s="11" t="s">
        <v>15</v>
      </c>
      <c r="C88" s="11" t="s">
        <v>332</v>
      </c>
      <c r="D88" s="12" t="s">
        <v>349</v>
      </c>
      <c r="E88" s="11" t="s">
        <v>350</v>
      </c>
      <c r="F88" s="11" t="s">
        <v>351</v>
      </c>
      <c r="G88" s="10" t="s">
        <v>137</v>
      </c>
      <c r="H88" s="10" t="s">
        <v>14</v>
      </c>
      <c r="I88" s="11"/>
      <c r="J88" s="11" t="s">
        <v>352</v>
      </c>
      <c r="K88" s="13"/>
      <c r="L88" s="11" t="s">
        <v>34</v>
      </c>
    </row>
    <row r="89" customFormat="false" ht="62.25" hidden="false" customHeight="true" outlineLevel="0" collapsed="false">
      <c r="A89" s="10" t="n">
        <v>85</v>
      </c>
      <c r="B89" s="11" t="s">
        <v>15</v>
      </c>
      <c r="C89" s="11" t="s">
        <v>332</v>
      </c>
      <c r="D89" s="12" t="s">
        <v>353</v>
      </c>
      <c r="E89" s="11" t="s">
        <v>354</v>
      </c>
      <c r="F89" s="11" t="s">
        <v>355</v>
      </c>
      <c r="G89" s="10" t="s">
        <v>58</v>
      </c>
      <c r="H89" s="10" t="s">
        <v>20</v>
      </c>
      <c r="I89" s="11"/>
      <c r="J89" s="11" t="s">
        <v>349</v>
      </c>
      <c r="K89" s="13"/>
      <c r="L89" s="11" t="s">
        <v>34</v>
      </c>
    </row>
    <row r="90" customFormat="false" ht="24.75" hidden="false" customHeight="true" outlineLevel="0" collapsed="false">
      <c r="A90" s="10" t="n">
        <v>86</v>
      </c>
      <c r="B90" s="11" t="s">
        <v>15</v>
      </c>
      <c r="C90" s="11" t="s">
        <v>332</v>
      </c>
      <c r="D90" s="12" t="s">
        <v>356</v>
      </c>
      <c r="E90" s="11" t="s">
        <v>357</v>
      </c>
      <c r="F90" s="11" t="s">
        <v>358</v>
      </c>
      <c r="G90" s="10" t="s">
        <v>58</v>
      </c>
      <c r="H90" s="10" t="s">
        <v>22</v>
      </c>
      <c r="I90" s="11"/>
      <c r="J90" s="11" t="s">
        <v>349</v>
      </c>
      <c r="K90" s="13"/>
      <c r="L90" s="11" t="s">
        <v>34</v>
      </c>
    </row>
    <row r="91" customFormat="false" ht="18" hidden="false" customHeight="true" outlineLevel="0" collapsed="false">
      <c r="A91" s="10" t="n">
        <v>87</v>
      </c>
      <c r="B91" s="11" t="s">
        <v>15</v>
      </c>
      <c r="C91" s="11" t="s">
        <v>332</v>
      </c>
      <c r="D91" s="12" t="s">
        <v>359</v>
      </c>
      <c r="E91" s="11" t="s">
        <v>360</v>
      </c>
      <c r="F91" s="11" t="s">
        <v>361</v>
      </c>
      <c r="G91" s="10" t="s">
        <v>137</v>
      </c>
      <c r="H91" s="10" t="s">
        <v>14</v>
      </c>
      <c r="I91" s="11" t="s">
        <v>62</v>
      </c>
      <c r="J91" s="11" t="s">
        <v>144</v>
      </c>
      <c r="K91" s="13"/>
      <c r="L91" s="11" t="s">
        <v>34</v>
      </c>
    </row>
    <row r="92" customFormat="false" ht="18" hidden="false" customHeight="true" outlineLevel="0" collapsed="false">
      <c r="A92" s="10" t="n">
        <v>88</v>
      </c>
      <c r="B92" s="11" t="s">
        <v>15</v>
      </c>
      <c r="C92" s="11" t="s">
        <v>332</v>
      </c>
      <c r="D92" s="12" t="s">
        <v>362</v>
      </c>
      <c r="E92" s="11" t="s">
        <v>363</v>
      </c>
      <c r="F92" s="11" t="s">
        <v>364</v>
      </c>
      <c r="G92" s="10" t="s">
        <v>137</v>
      </c>
      <c r="H92" s="10" t="s">
        <v>14</v>
      </c>
      <c r="I92" s="11"/>
      <c r="J92" s="11" t="s">
        <v>365</v>
      </c>
      <c r="K92" s="13"/>
      <c r="L92" s="11" t="s">
        <v>34</v>
      </c>
    </row>
    <row r="93" customFormat="false" ht="62.25" hidden="false" customHeight="true" outlineLevel="0" collapsed="false">
      <c r="A93" s="10" t="n">
        <v>89</v>
      </c>
      <c r="B93" s="11" t="s">
        <v>15</v>
      </c>
      <c r="C93" s="11" t="s">
        <v>332</v>
      </c>
      <c r="D93" s="12" t="s">
        <v>366</v>
      </c>
      <c r="E93" s="11" t="s">
        <v>367</v>
      </c>
      <c r="F93" s="11" t="s">
        <v>368</v>
      </c>
      <c r="G93" s="10" t="s">
        <v>58</v>
      </c>
      <c r="H93" s="10" t="s">
        <v>20</v>
      </c>
      <c r="I93" s="11"/>
      <c r="J93" s="11" t="s">
        <v>362</v>
      </c>
      <c r="K93" s="13"/>
      <c r="L93" s="11" t="s">
        <v>34</v>
      </c>
    </row>
    <row r="94" customFormat="false" ht="24.75" hidden="false" customHeight="true" outlineLevel="0" collapsed="false">
      <c r="A94" s="10" t="n">
        <v>90</v>
      </c>
      <c r="B94" s="11" t="s">
        <v>15</v>
      </c>
      <c r="C94" s="11" t="s">
        <v>332</v>
      </c>
      <c r="D94" s="12" t="s">
        <v>369</v>
      </c>
      <c r="E94" s="11" t="s">
        <v>370</v>
      </c>
      <c r="F94" s="11" t="s">
        <v>371</v>
      </c>
      <c r="G94" s="10" t="s">
        <v>58</v>
      </c>
      <c r="H94" s="10" t="s">
        <v>22</v>
      </c>
      <c r="I94" s="11"/>
      <c r="J94" s="11" t="s">
        <v>362</v>
      </c>
      <c r="K94" s="13"/>
      <c r="L94" s="11" t="s">
        <v>34</v>
      </c>
    </row>
    <row r="95" customFormat="false" ht="24.75" hidden="false" customHeight="true" outlineLevel="0" collapsed="false">
      <c r="A95" s="10" t="n">
        <v>91</v>
      </c>
      <c r="B95" s="11" t="s">
        <v>15</v>
      </c>
      <c r="C95" s="11" t="s">
        <v>332</v>
      </c>
      <c r="D95" s="12" t="s">
        <v>372</v>
      </c>
      <c r="E95" s="11" t="s">
        <v>373</v>
      </c>
      <c r="F95" s="11" t="s">
        <v>374</v>
      </c>
      <c r="G95" s="10" t="s">
        <v>58</v>
      </c>
      <c r="H95" s="10" t="s">
        <v>20</v>
      </c>
      <c r="I95" s="11"/>
      <c r="J95" s="11" t="s">
        <v>155</v>
      </c>
      <c r="K95" s="13"/>
      <c r="L95" s="11" t="s">
        <v>34</v>
      </c>
    </row>
    <row r="96" customFormat="false" ht="24.75" hidden="false" customHeight="true" outlineLevel="0" collapsed="false">
      <c r="A96" s="10" t="n">
        <v>92</v>
      </c>
      <c r="B96" s="11" t="s">
        <v>15</v>
      </c>
      <c r="C96" s="11" t="s">
        <v>332</v>
      </c>
      <c r="D96" s="12" t="s">
        <v>375</v>
      </c>
      <c r="E96" s="11" t="s">
        <v>376</v>
      </c>
      <c r="F96" s="11" t="s">
        <v>377</v>
      </c>
      <c r="G96" s="10" t="s">
        <v>58</v>
      </c>
      <c r="H96" s="10" t="s">
        <v>20</v>
      </c>
      <c r="I96" s="11"/>
      <c r="J96" s="11" t="s">
        <v>378</v>
      </c>
      <c r="K96" s="13"/>
      <c r="L96" s="11" t="s">
        <v>34</v>
      </c>
    </row>
    <row r="97" customFormat="false" ht="24.75" hidden="false" customHeight="true" outlineLevel="0" collapsed="false">
      <c r="A97" s="10" t="n">
        <v>93</v>
      </c>
      <c r="B97" s="11" t="s">
        <v>15</v>
      </c>
      <c r="C97" s="11" t="s">
        <v>332</v>
      </c>
      <c r="D97" s="12" t="s">
        <v>379</v>
      </c>
      <c r="E97" s="11" t="s">
        <v>380</v>
      </c>
      <c r="F97" s="11" t="s">
        <v>381</v>
      </c>
      <c r="G97" s="10" t="s">
        <v>58</v>
      </c>
      <c r="H97" s="10" t="s">
        <v>20</v>
      </c>
      <c r="I97" s="11"/>
      <c r="J97" s="11" t="s">
        <v>382</v>
      </c>
      <c r="K97" s="13"/>
      <c r="L97" s="11" t="s">
        <v>34</v>
      </c>
    </row>
    <row r="98" customFormat="false" ht="62.25" hidden="false" customHeight="true" outlineLevel="0" collapsed="false">
      <c r="A98" s="10" t="n">
        <v>94</v>
      </c>
      <c r="B98" s="11" t="s">
        <v>15</v>
      </c>
      <c r="C98" s="11" t="s">
        <v>383</v>
      </c>
      <c r="D98" s="12" t="s">
        <v>384</v>
      </c>
      <c r="E98" s="11" t="s">
        <v>385</v>
      </c>
      <c r="F98" s="11" t="s">
        <v>386</v>
      </c>
      <c r="G98" s="10" t="s">
        <v>69</v>
      </c>
      <c r="H98" s="10" t="s">
        <v>10</v>
      </c>
      <c r="I98" s="11" t="s">
        <v>98</v>
      </c>
      <c r="J98" s="11"/>
      <c r="K98" s="13"/>
      <c r="L98" s="11" t="s">
        <v>32</v>
      </c>
    </row>
    <row r="99" customFormat="false" ht="18" hidden="false" customHeight="true" outlineLevel="0" collapsed="false">
      <c r="A99" s="10" t="n">
        <v>95</v>
      </c>
      <c r="B99" s="11" t="s">
        <v>15</v>
      </c>
      <c r="C99" s="11" t="s">
        <v>383</v>
      </c>
      <c r="D99" s="12" t="s">
        <v>387</v>
      </c>
      <c r="E99" s="11" t="s">
        <v>388</v>
      </c>
      <c r="F99" s="11" t="s">
        <v>389</v>
      </c>
      <c r="G99" s="10" t="s">
        <v>69</v>
      </c>
      <c r="H99" s="10" t="s">
        <v>10</v>
      </c>
      <c r="I99" s="11" t="s">
        <v>390</v>
      </c>
      <c r="J99" s="11"/>
      <c r="K99" s="13"/>
      <c r="L99" s="11" t="s">
        <v>32</v>
      </c>
    </row>
    <row r="100" customFormat="false" ht="18" hidden="false" customHeight="true" outlineLevel="0" collapsed="false">
      <c r="A100" s="10" t="n">
        <v>96</v>
      </c>
      <c r="B100" s="11" t="s">
        <v>15</v>
      </c>
      <c r="C100" s="11" t="s">
        <v>383</v>
      </c>
      <c r="D100" s="12" t="s">
        <v>391</v>
      </c>
      <c r="E100" s="11" t="s">
        <v>392</v>
      </c>
      <c r="F100" s="11" t="s">
        <v>393</v>
      </c>
      <c r="G100" s="10" t="s">
        <v>137</v>
      </c>
      <c r="H100" s="10" t="s">
        <v>14</v>
      </c>
      <c r="I100" s="11"/>
      <c r="J100" s="11" t="s">
        <v>394</v>
      </c>
      <c r="K100" s="13"/>
      <c r="L100" s="11" t="s">
        <v>32</v>
      </c>
    </row>
    <row r="101" customFormat="false" ht="24.75" hidden="false" customHeight="true" outlineLevel="0" collapsed="false">
      <c r="A101" s="10" t="n">
        <v>97</v>
      </c>
      <c r="B101" s="11" t="s">
        <v>15</v>
      </c>
      <c r="C101" s="11" t="s">
        <v>383</v>
      </c>
      <c r="D101" s="12" t="s">
        <v>395</v>
      </c>
      <c r="E101" s="11" t="s">
        <v>396</v>
      </c>
      <c r="F101" s="11" t="s">
        <v>397</v>
      </c>
      <c r="G101" s="10" t="s">
        <v>79</v>
      </c>
      <c r="H101" s="10" t="s">
        <v>12</v>
      </c>
      <c r="I101" s="11" t="s">
        <v>390</v>
      </c>
      <c r="J101" s="11" t="s">
        <v>117</v>
      </c>
      <c r="K101" s="13"/>
      <c r="L101" s="11" t="s">
        <v>32</v>
      </c>
    </row>
    <row r="102" customFormat="false" ht="324.75" hidden="false" customHeight="true" outlineLevel="0" collapsed="false">
      <c r="A102" s="10" t="n">
        <v>98</v>
      </c>
      <c r="B102" s="11" t="s">
        <v>15</v>
      </c>
      <c r="C102" s="11" t="s">
        <v>398</v>
      </c>
      <c r="D102" s="12" t="s">
        <v>399</v>
      </c>
      <c r="E102" s="11" t="s">
        <v>400</v>
      </c>
      <c r="F102" s="11" t="s">
        <v>401</v>
      </c>
      <c r="G102" s="10" t="s">
        <v>58</v>
      </c>
      <c r="H102" s="10" t="s">
        <v>20</v>
      </c>
      <c r="I102" s="11" t="s">
        <v>390</v>
      </c>
      <c r="J102" s="11" t="s">
        <v>402</v>
      </c>
      <c r="K102" s="13"/>
      <c r="L102" s="11" t="s">
        <v>33</v>
      </c>
    </row>
    <row r="103" customFormat="false" ht="112.5" hidden="false" customHeight="true" outlineLevel="0" collapsed="false">
      <c r="A103" s="10" t="n">
        <v>99</v>
      </c>
      <c r="B103" s="11" t="s">
        <v>15</v>
      </c>
      <c r="C103" s="11" t="s">
        <v>398</v>
      </c>
      <c r="D103" s="12" t="s">
        <v>403</v>
      </c>
      <c r="E103" s="11" t="s">
        <v>404</v>
      </c>
      <c r="F103" s="11" t="s">
        <v>405</v>
      </c>
      <c r="G103" s="10" t="s">
        <v>58</v>
      </c>
      <c r="H103" s="10" t="s">
        <v>22</v>
      </c>
      <c r="I103" s="11"/>
      <c r="J103" s="11" t="s">
        <v>399</v>
      </c>
      <c r="K103" s="13"/>
      <c r="L103" s="11" t="s">
        <v>33</v>
      </c>
    </row>
    <row r="104" customFormat="false" ht="112.5" hidden="false" customHeight="true" outlineLevel="0" collapsed="false">
      <c r="A104" s="10" t="n">
        <v>100</v>
      </c>
      <c r="B104" s="11" t="s">
        <v>15</v>
      </c>
      <c r="C104" s="11" t="s">
        <v>406</v>
      </c>
      <c r="D104" s="12" t="s">
        <v>407</v>
      </c>
      <c r="E104" s="11" t="s">
        <v>408</v>
      </c>
      <c r="F104" s="11" t="s">
        <v>409</v>
      </c>
      <c r="G104" s="10" t="s">
        <v>137</v>
      </c>
      <c r="H104" s="10" t="s">
        <v>14</v>
      </c>
      <c r="I104" s="11" t="s">
        <v>410</v>
      </c>
      <c r="J104" s="11" t="s">
        <v>94</v>
      </c>
      <c r="K104" s="13"/>
      <c r="L104" s="11" t="s">
        <v>32</v>
      </c>
    </row>
    <row r="105" customFormat="false" ht="18" hidden="false" customHeight="true" outlineLevel="0" collapsed="false">
      <c r="A105" s="10" t="n">
        <v>101</v>
      </c>
      <c r="B105" s="11" t="s">
        <v>15</v>
      </c>
      <c r="C105" s="11" t="s">
        <v>411</v>
      </c>
      <c r="D105" s="12" t="s">
        <v>412</v>
      </c>
      <c r="E105" s="11" t="s">
        <v>413</v>
      </c>
      <c r="F105" s="11" t="s">
        <v>414</v>
      </c>
      <c r="G105" s="10" t="s">
        <v>69</v>
      </c>
      <c r="H105" s="10" t="s">
        <v>10</v>
      </c>
      <c r="I105" s="11"/>
      <c r="J105" s="11" t="s">
        <v>114</v>
      </c>
      <c r="K105" s="13"/>
      <c r="L105" s="11" t="s">
        <v>32</v>
      </c>
    </row>
    <row r="106" customFormat="false" ht="75" hidden="false" customHeight="true" outlineLevel="0" collapsed="false">
      <c r="A106" s="10" t="n">
        <v>102</v>
      </c>
      <c r="B106" s="11" t="s">
        <v>15</v>
      </c>
      <c r="C106" s="11" t="s">
        <v>411</v>
      </c>
      <c r="D106" s="12" t="s">
        <v>415</v>
      </c>
      <c r="E106" s="11" t="s">
        <v>416</v>
      </c>
      <c r="F106" s="11" t="s">
        <v>417</v>
      </c>
      <c r="G106" s="10" t="s">
        <v>69</v>
      </c>
      <c r="H106" s="10" t="s">
        <v>10</v>
      </c>
      <c r="I106" s="11" t="s">
        <v>98</v>
      </c>
      <c r="J106" s="11"/>
      <c r="K106" s="13"/>
      <c r="L106" s="11" t="s">
        <v>32</v>
      </c>
    </row>
    <row r="107" customFormat="false" ht="18" hidden="false" customHeight="true" outlineLevel="0" collapsed="false">
      <c r="A107" s="10" t="n">
        <v>103</v>
      </c>
      <c r="B107" s="11" t="s">
        <v>15</v>
      </c>
      <c r="C107" s="11" t="s">
        <v>411</v>
      </c>
      <c r="D107" s="12" t="s">
        <v>418</v>
      </c>
      <c r="E107" s="11" t="s">
        <v>419</v>
      </c>
      <c r="F107" s="11" t="s">
        <v>420</v>
      </c>
      <c r="G107" s="10" t="s">
        <v>137</v>
      </c>
      <c r="H107" s="10" t="s">
        <v>14</v>
      </c>
      <c r="I107" s="11"/>
      <c r="J107" s="11" t="s">
        <v>421</v>
      </c>
      <c r="K107" s="13"/>
      <c r="L107" s="11" t="s">
        <v>32</v>
      </c>
    </row>
    <row r="108" customFormat="false" ht="18" hidden="false" customHeight="true" outlineLevel="0" collapsed="false">
      <c r="A108" s="10" t="n">
        <v>104</v>
      </c>
      <c r="B108" s="11" t="s">
        <v>15</v>
      </c>
      <c r="C108" s="11" t="s">
        <v>411</v>
      </c>
      <c r="D108" s="12" t="s">
        <v>382</v>
      </c>
      <c r="E108" s="11" t="s">
        <v>422</v>
      </c>
      <c r="F108" s="11" t="s">
        <v>423</v>
      </c>
      <c r="G108" s="10" t="s">
        <v>97</v>
      </c>
      <c r="H108" s="10" t="s">
        <v>8</v>
      </c>
      <c r="I108" s="11" t="s">
        <v>154</v>
      </c>
      <c r="J108" s="11" t="s">
        <v>114</v>
      </c>
      <c r="K108" s="13"/>
      <c r="L108" s="11" t="s">
        <v>32</v>
      </c>
    </row>
    <row r="109" customFormat="false" ht="24.75" hidden="false" customHeight="true" outlineLevel="0" collapsed="false">
      <c r="A109" s="10" t="n">
        <v>105</v>
      </c>
      <c r="B109" s="11" t="s">
        <v>15</v>
      </c>
      <c r="C109" s="11" t="s">
        <v>424</v>
      </c>
      <c r="D109" s="12" t="s">
        <v>425</v>
      </c>
      <c r="E109" s="11" t="s">
        <v>426</v>
      </c>
      <c r="F109" s="11" t="s">
        <v>427</v>
      </c>
      <c r="G109" s="10" t="s">
        <v>69</v>
      </c>
      <c r="H109" s="10" t="s">
        <v>10</v>
      </c>
      <c r="I109" s="11" t="s">
        <v>390</v>
      </c>
      <c r="J109" s="11" t="s">
        <v>108</v>
      </c>
      <c r="K109" s="13"/>
      <c r="L109" s="11" t="s">
        <v>32</v>
      </c>
    </row>
    <row r="110" customFormat="false" ht="24.75" hidden="false" customHeight="true" outlineLevel="0" collapsed="false">
      <c r="A110" s="10" t="n">
        <v>106</v>
      </c>
      <c r="B110" s="11" t="s">
        <v>15</v>
      </c>
      <c r="C110" s="11" t="s">
        <v>424</v>
      </c>
      <c r="D110" s="12" t="s">
        <v>428</v>
      </c>
      <c r="E110" s="11" t="s">
        <v>429</v>
      </c>
      <c r="F110" s="11" t="s">
        <v>430</v>
      </c>
      <c r="G110" s="10" t="s">
        <v>69</v>
      </c>
      <c r="H110" s="10" t="s">
        <v>10</v>
      </c>
      <c r="I110" s="11" t="s">
        <v>390</v>
      </c>
      <c r="J110" s="11" t="s">
        <v>108</v>
      </c>
      <c r="K110" s="13"/>
      <c r="L110" s="11" t="s">
        <v>32</v>
      </c>
    </row>
    <row r="111" customFormat="false" ht="24.75" hidden="false" customHeight="true" outlineLevel="0" collapsed="false">
      <c r="A111" s="10" t="n">
        <v>107</v>
      </c>
      <c r="B111" s="11" t="s">
        <v>15</v>
      </c>
      <c r="C111" s="11" t="s">
        <v>424</v>
      </c>
      <c r="D111" s="12" t="s">
        <v>431</v>
      </c>
      <c r="E111" s="11" t="s">
        <v>432</v>
      </c>
      <c r="F111" s="11" t="s">
        <v>433</v>
      </c>
      <c r="G111" s="10" t="s">
        <v>69</v>
      </c>
      <c r="H111" s="10" t="s">
        <v>10</v>
      </c>
      <c r="I111" s="11" t="s">
        <v>390</v>
      </c>
      <c r="J111" s="11" t="s">
        <v>108</v>
      </c>
      <c r="K111" s="13"/>
      <c r="L111" s="11" t="s">
        <v>32</v>
      </c>
    </row>
    <row r="112" customFormat="false" ht="75" hidden="false" customHeight="true" outlineLevel="0" collapsed="false">
      <c r="A112" s="10" t="n">
        <v>108</v>
      </c>
      <c r="B112" s="11" t="s">
        <v>15</v>
      </c>
      <c r="C112" s="11" t="s">
        <v>424</v>
      </c>
      <c r="D112" s="12" t="s">
        <v>434</v>
      </c>
      <c r="E112" s="11" t="s">
        <v>435</v>
      </c>
      <c r="F112" s="11" t="s">
        <v>436</v>
      </c>
      <c r="G112" s="10" t="s">
        <v>137</v>
      </c>
      <c r="H112" s="10" t="s">
        <v>14</v>
      </c>
      <c r="I112" s="11" t="s">
        <v>390</v>
      </c>
      <c r="J112" s="11" t="s">
        <v>108</v>
      </c>
      <c r="K112" s="13"/>
      <c r="L112" s="11" t="s">
        <v>32</v>
      </c>
    </row>
    <row r="113" customFormat="false" ht="62.25" hidden="false" customHeight="true" outlineLevel="0" collapsed="false">
      <c r="A113" s="10" t="n">
        <v>109</v>
      </c>
      <c r="B113" s="11" t="s">
        <v>15</v>
      </c>
      <c r="C113" s="11" t="s">
        <v>424</v>
      </c>
      <c r="D113" s="12" t="s">
        <v>437</v>
      </c>
      <c r="E113" s="11" t="s">
        <v>438</v>
      </c>
      <c r="F113" s="11" t="s">
        <v>439</v>
      </c>
      <c r="G113" s="10" t="s">
        <v>58</v>
      </c>
      <c r="H113" s="10" t="s">
        <v>20</v>
      </c>
      <c r="I113" s="11"/>
      <c r="J113" s="11" t="s">
        <v>434</v>
      </c>
      <c r="K113" s="13"/>
      <c r="L113" s="11" t="s">
        <v>32</v>
      </c>
    </row>
    <row r="114" customFormat="false" ht="24.75" hidden="false" customHeight="true" outlineLevel="0" collapsed="false">
      <c r="A114" s="10" t="n">
        <v>110</v>
      </c>
      <c r="B114" s="11" t="s">
        <v>15</v>
      </c>
      <c r="C114" s="11" t="s">
        <v>424</v>
      </c>
      <c r="D114" s="12" t="s">
        <v>378</v>
      </c>
      <c r="E114" s="11" t="s">
        <v>440</v>
      </c>
      <c r="F114" s="11" t="s">
        <v>441</v>
      </c>
      <c r="G114" s="10" t="s">
        <v>97</v>
      </c>
      <c r="H114" s="10" t="s">
        <v>8</v>
      </c>
      <c r="I114" s="11" t="s">
        <v>390</v>
      </c>
      <c r="J114" s="11" t="s">
        <v>108</v>
      </c>
      <c r="K114" s="13"/>
      <c r="L114" s="11" t="s">
        <v>32</v>
      </c>
    </row>
    <row r="115" customFormat="false" ht="24.75" hidden="false" customHeight="true" outlineLevel="0" collapsed="false">
      <c r="A115" s="10" t="n">
        <v>111</v>
      </c>
      <c r="B115" s="11" t="s">
        <v>15</v>
      </c>
      <c r="C115" s="11" t="s">
        <v>424</v>
      </c>
      <c r="D115" s="12" t="s">
        <v>442</v>
      </c>
      <c r="E115" s="11" t="s">
        <v>443</v>
      </c>
      <c r="F115" s="11" t="s">
        <v>444</v>
      </c>
      <c r="G115" s="10" t="s">
        <v>137</v>
      </c>
      <c r="H115" s="10" t="s">
        <v>14</v>
      </c>
      <c r="I115" s="11" t="s">
        <v>390</v>
      </c>
      <c r="J115" s="11" t="s">
        <v>445</v>
      </c>
      <c r="K115" s="13"/>
      <c r="L115" s="11" t="s">
        <v>32</v>
      </c>
    </row>
    <row r="116" customFormat="false" ht="62.25" hidden="false" customHeight="true" outlineLevel="0" collapsed="false">
      <c r="A116" s="10" t="n">
        <v>112</v>
      </c>
      <c r="B116" s="11" t="s">
        <v>17</v>
      </c>
      <c r="C116" s="11" t="s">
        <v>446</v>
      </c>
      <c r="D116" s="12" t="s">
        <v>272</v>
      </c>
      <c r="E116" s="11" t="s">
        <v>447</v>
      </c>
      <c r="F116" s="11" t="s">
        <v>448</v>
      </c>
      <c r="G116" s="10" t="s">
        <v>69</v>
      </c>
      <c r="H116" s="10" t="s">
        <v>10</v>
      </c>
      <c r="I116" s="11" t="s">
        <v>54</v>
      </c>
      <c r="J116" s="11"/>
      <c r="K116" s="16" t="n">
        <v>6541</v>
      </c>
      <c r="L116" s="11" t="s">
        <v>32</v>
      </c>
    </row>
    <row r="117" customFormat="false" ht="24.75" hidden="false" customHeight="true" outlineLevel="0" collapsed="false">
      <c r="A117" s="10" t="n">
        <v>113</v>
      </c>
      <c r="B117" s="11" t="s">
        <v>17</v>
      </c>
      <c r="C117" s="11" t="s">
        <v>446</v>
      </c>
      <c r="D117" s="12" t="s">
        <v>449</v>
      </c>
      <c r="E117" s="11" t="s">
        <v>450</v>
      </c>
      <c r="F117" s="11" t="s">
        <v>451</v>
      </c>
      <c r="G117" s="10" t="s">
        <v>69</v>
      </c>
      <c r="H117" s="10" t="s">
        <v>10</v>
      </c>
      <c r="I117" s="11" t="s">
        <v>452</v>
      </c>
      <c r="J117" s="11"/>
      <c r="K117" s="13"/>
      <c r="L117" s="11" t="s">
        <v>32</v>
      </c>
    </row>
    <row r="118" customFormat="false" ht="87" hidden="false" customHeight="true" outlineLevel="0" collapsed="false">
      <c r="A118" s="10" t="n">
        <v>114</v>
      </c>
      <c r="B118" s="11" t="s">
        <v>17</v>
      </c>
      <c r="C118" s="11" t="s">
        <v>446</v>
      </c>
      <c r="D118" s="12" t="s">
        <v>453</v>
      </c>
      <c r="E118" s="11" t="s">
        <v>454</v>
      </c>
      <c r="F118" s="11" t="s">
        <v>455</v>
      </c>
      <c r="G118" s="10" t="s">
        <v>53</v>
      </c>
      <c r="H118" s="10" t="s">
        <v>18</v>
      </c>
      <c r="I118" s="11" t="s">
        <v>54</v>
      </c>
      <c r="J118" s="11"/>
      <c r="K118" s="13"/>
      <c r="L118" s="11" t="s">
        <v>32</v>
      </c>
    </row>
    <row r="119" customFormat="false" ht="49.5" hidden="false" customHeight="true" outlineLevel="0" collapsed="false">
      <c r="A119" s="10" t="n">
        <v>115</v>
      </c>
      <c r="B119" s="11" t="s">
        <v>17</v>
      </c>
      <c r="C119" s="11" t="s">
        <v>446</v>
      </c>
      <c r="D119" s="12" t="s">
        <v>456</v>
      </c>
      <c r="E119" s="11" t="s">
        <v>457</v>
      </c>
      <c r="F119" s="11" t="s">
        <v>458</v>
      </c>
      <c r="G119" s="10" t="s">
        <v>459</v>
      </c>
      <c r="H119" s="10" t="s">
        <v>10</v>
      </c>
      <c r="I119" s="11" t="s">
        <v>62</v>
      </c>
      <c r="J119" s="11" t="s">
        <v>460</v>
      </c>
      <c r="K119" s="13"/>
      <c r="L119" s="11" t="s">
        <v>32</v>
      </c>
    </row>
    <row r="120" customFormat="false" ht="18" hidden="false" customHeight="true" outlineLevel="0" collapsed="false">
      <c r="A120" s="10" t="n">
        <v>116</v>
      </c>
      <c r="B120" s="11" t="s">
        <v>17</v>
      </c>
      <c r="C120" s="11" t="s">
        <v>446</v>
      </c>
      <c r="D120" s="12" t="s">
        <v>461</v>
      </c>
      <c r="E120" s="11" t="s">
        <v>462</v>
      </c>
      <c r="F120" s="11" t="s">
        <v>463</v>
      </c>
      <c r="G120" s="10" t="s">
        <v>69</v>
      </c>
      <c r="H120" s="10" t="s">
        <v>10</v>
      </c>
      <c r="I120" s="11" t="s">
        <v>452</v>
      </c>
      <c r="J120" s="11" t="s">
        <v>456</v>
      </c>
      <c r="K120" s="13"/>
      <c r="L120" s="11" t="s">
        <v>32</v>
      </c>
    </row>
    <row r="121" customFormat="false" ht="24.75" hidden="false" customHeight="true" outlineLevel="0" collapsed="false">
      <c r="A121" s="10" t="n">
        <v>117</v>
      </c>
      <c r="B121" s="11" t="s">
        <v>17</v>
      </c>
      <c r="C121" s="11" t="s">
        <v>446</v>
      </c>
      <c r="D121" s="12" t="s">
        <v>464</v>
      </c>
      <c r="E121" s="11" t="s">
        <v>465</v>
      </c>
      <c r="F121" s="11" t="s">
        <v>466</v>
      </c>
      <c r="G121" s="10" t="s">
        <v>69</v>
      </c>
      <c r="H121" s="10" t="s">
        <v>10</v>
      </c>
      <c r="I121" s="11"/>
      <c r="J121" s="11" t="s">
        <v>467</v>
      </c>
      <c r="K121" s="13"/>
      <c r="L121" s="11" t="s">
        <v>32</v>
      </c>
    </row>
    <row r="122" customFormat="false" ht="18" hidden="false" customHeight="true" outlineLevel="0" collapsed="false">
      <c r="A122" s="10" t="n">
        <v>118</v>
      </c>
      <c r="B122" s="11" t="s">
        <v>17</v>
      </c>
      <c r="C122" s="11" t="s">
        <v>446</v>
      </c>
      <c r="D122" s="12" t="s">
        <v>468</v>
      </c>
      <c r="E122" s="11" t="s">
        <v>469</v>
      </c>
      <c r="F122" s="11" t="s">
        <v>470</v>
      </c>
      <c r="G122" s="10" t="s">
        <v>137</v>
      </c>
      <c r="H122" s="10" t="s">
        <v>14</v>
      </c>
      <c r="I122" s="11"/>
      <c r="J122" s="11" t="s">
        <v>471</v>
      </c>
      <c r="K122" s="13"/>
      <c r="L122" s="11" t="s">
        <v>32</v>
      </c>
    </row>
    <row r="123" customFormat="false" ht="24.75" hidden="false" customHeight="true" outlineLevel="0" collapsed="false">
      <c r="A123" s="10" t="n">
        <v>119</v>
      </c>
      <c r="B123" s="11" t="s">
        <v>17</v>
      </c>
      <c r="C123" s="11" t="s">
        <v>332</v>
      </c>
      <c r="D123" s="12" t="s">
        <v>472</v>
      </c>
      <c r="E123" s="11" t="s">
        <v>473</v>
      </c>
      <c r="F123" s="11" t="s">
        <v>474</v>
      </c>
      <c r="G123" s="10" t="s">
        <v>58</v>
      </c>
      <c r="H123" s="10" t="s">
        <v>20</v>
      </c>
      <c r="I123" s="11"/>
      <c r="J123" s="11" t="s">
        <v>475</v>
      </c>
      <c r="K123" s="13"/>
      <c r="L123" s="11" t="s">
        <v>30</v>
      </c>
    </row>
    <row r="124" customFormat="false" ht="18" hidden="false" customHeight="true" outlineLevel="0" collapsed="false">
      <c r="A124" s="10" t="n">
        <v>120</v>
      </c>
      <c r="B124" s="11" t="s">
        <v>17</v>
      </c>
      <c r="C124" s="11" t="s">
        <v>332</v>
      </c>
      <c r="D124" s="12" t="s">
        <v>476</v>
      </c>
      <c r="E124" s="11" t="s">
        <v>477</v>
      </c>
      <c r="F124" s="11" t="s">
        <v>478</v>
      </c>
      <c r="G124" s="10" t="s">
        <v>58</v>
      </c>
      <c r="H124" s="10" t="s">
        <v>20</v>
      </c>
      <c r="I124" s="11"/>
      <c r="J124" s="11" t="s">
        <v>479</v>
      </c>
      <c r="K124" s="13"/>
      <c r="L124" s="11" t="s">
        <v>30</v>
      </c>
    </row>
    <row r="125" customFormat="false" ht="24.75" hidden="false" customHeight="true" outlineLevel="0" collapsed="false">
      <c r="A125" s="10" t="n">
        <v>121</v>
      </c>
      <c r="B125" s="11" t="s">
        <v>17</v>
      </c>
      <c r="C125" s="11" t="s">
        <v>332</v>
      </c>
      <c r="D125" s="12" t="s">
        <v>480</v>
      </c>
      <c r="E125" s="11" t="s">
        <v>481</v>
      </c>
      <c r="F125" s="11" t="s">
        <v>482</v>
      </c>
      <c r="G125" s="10" t="s">
        <v>58</v>
      </c>
      <c r="H125" s="10" t="s">
        <v>20</v>
      </c>
      <c r="I125" s="11"/>
      <c r="J125" s="11" t="s">
        <v>483</v>
      </c>
      <c r="K125" s="13"/>
      <c r="L125" s="11" t="s">
        <v>30</v>
      </c>
    </row>
    <row r="126" customFormat="false" ht="24.75" hidden="false" customHeight="true" outlineLevel="0" collapsed="false">
      <c r="A126" s="10" t="n">
        <v>122</v>
      </c>
      <c r="B126" s="11" t="s">
        <v>17</v>
      </c>
      <c r="C126" s="11" t="s">
        <v>332</v>
      </c>
      <c r="D126" s="12" t="s">
        <v>484</v>
      </c>
      <c r="E126" s="11" t="s">
        <v>485</v>
      </c>
      <c r="F126" s="11" t="s">
        <v>486</v>
      </c>
      <c r="G126" s="10" t="s">
        <v>58</v>
      </c>
      <c r="H126" s="10" t="s">
        <v>20</v>
      </c>
      <c r="I126" s="11"/>
      <c r="J126" s="11" t="s">
        <v>487</v>
      </c>
      <c r="K126" s="13"/>
      <c r="L126" s="11" t="s">
        <v>30</v>
      </c>
    </row>
    <row r="127" customFormat="false" ht="24.75" hidden="false" customHeight="true" outlineLevel="0" collapsed="false">
      <c r="A127" s="10" t="n">
        <v>123</v>
      </c>
      <c r="B127" s="11" t="s">
        <v>17</v>
      </c>
      <c r="C127" s="11" t="s">
        <v>332</v>
      </c>
      <c r="D127" s="12" t="s">
        <v>488</v>
      </c>
      <c r="E127" s="11" t="s">
        <v>489</v>
      </c>
      <c r="F127" s="11" t="s">
        <v>490</v>
      </c>
      <c r="G127" s="10" t="s">
        <v>137</v>
      </c>
      <c r="H127" s="10" t="s">
        <v>14</v>
      </c>
      <c r="I127" s="11"/>
      <c r="J127" s="11" t="s">
        <v>272</v>
      </c>
      <c r="K127" s="13"/>
      <c r="L127" s="11" t="s">
        <v>30</v>
      </c>
    </row>
    <row r="128" customFormat="false" ht="49.5" hidden="false" customHeight="true" outlineLevel="0" collapsed="false">
      <c r="A128" s="10" t="n">
        <v>124</v>
      </c>
      <c r="B128" s="11" t="s">
        <v>17</v>
      </c>
      <c r="C128" s="11" t="s">
        <v>332</v>
      </c>
      <c r="D128" s="12" t="s">
        <v>491</v>
      </c>
      <c r="E128" s="11" t="s">
        <v>492</v>
      </c>
      <c r="F128" s="11" t="s">
        <v>493</v>
      </c>
      <c r="G128" s="10" t="s">
        <v>137</v>
      </c>
      <c r="H128" s="10" t="s">
        <v>14</v>
      </c>
      <c r="I128" s="11" t="s">
        <v>54</v>
      </c>
      <c r="J128" s="11" t="s">
        <v>120</v>
      </c>
      <c r="K128" s="18" t="n">
        <v>0.6174</v>
      </c>
      <c r="L128" s="11" t="s">
        <v>35</v>
      </c>
    </row>
    <row r="129" customFormat="false" ht="18" hidden="false" customHeight="true" outlineLevel="0" collapsed="false">
      <c r="A129" s="10" t="n">
        <v>125</v>
      </c>
      <c r="B129" s="11" t="s">
        <v>17</v>
      </c>
      <c r="C129" s="11" t="s">
        <v>494</v>
      </c>
      <c r="D129" s="12" t="s">
        <v>479</v>
      </c>
      <c r="E129" s="11" t="s">
        <v>495</v>
      </c>
      <c r="F129" s="11" t="s">
        <v>496</v>
      </c>
      <c r="G129" s="10" t="s">
        <v>69</v>
      </c>
      <c r="H129" s="10" t="s">
        <v>10</v>
      </c>
      <c r="I129" s="11" t="s">
        <v>452</v>
      </c>
      <c r="J129" s="11" t="s">
        <v>120</v>
      </c>
      <c r="K129" s="13"/>
      <c r="L129" s="11" t="s">
        <v>32</v>
      </c>
    </row>
    <row r="130" customFormat="false" ht="18" hidden="false" customHeight="true" outlineLevel="0" collapsed="false">
      <c r="A130" s="10" t="n">
        <v>126</v>
      </c>
      <c r="B130" s="11" t="s">
        <v>17</v>
      </c>
      <c r="C130" s="11" t="s">
        <v>494</v>
      </c>
      <c r="D130" s="12" t="s">
        <v>497</v>
      </c>
      <c r="E130" s="11" t="s">
        <v>498</v>
      </c>
      <c r="F130" s="11" t="s">
        <v>499</v>
      </c>
      <c r="G130" s="10" t="s">
        <v>137</v>
      </c>
      <c r="H130" s="10" t="s">
        <v>14</v>
      </c>
      <c r="I130" s="11"/>
      <c r="J130" s="11" t="s">
        <v>500</v>
      </c>
      <c r="K130" s="13"/>
      <c r="L130" s="11" t="s">
        <v>32</v>
      </c>
    </row>
    <row r="131" customFormat="false" ht="18" hidden="false" customHeight="true" outlineLevel="0" collapsed="false">
      <c r="A131" s="10" t="n">
        <v>127</v>
      </c>
      <c r="B131" s="11" t="s">
        <v>17</v>
      </c>
      <c r="C131" s="11" t="s">
        <v>494</v>
      </c>
      <c r="D131" s="12" t="s">
        <v>501</v>
      </c>
      <c r="E131" s="11" t="s">
        <v>502</v>
      </c>
      <c r="F131" s="11" t="s">
        <v>503</v>
      </c>
      <c r="G131" s="10" t="s">
        <v>79</v>
      </c>
      <c r="H131" s="10" t="s">
        <v>12</v>
      </c>
      <c r="I131" s="11"/>
      <c r="J131" s="11" t="s">
        <v>504</v>
      </c>
      <c r="K131" s="19" t="n">
        <v>1.87</v>
      </c>
      <c r="L131" s="11" t="s">
        <v>32</v>
      </c>
    </row>
    <row r="132" customFormat="false" ht="24.75" hidden="false" customHeight="true" outlineLevel="0" collapsed="false">
      <c r="A132" s="10" t="n">
        <v>128</v>
      </c>
      <c r="B132" s="11" t="s">
        <v>17</v>
      </c>
      <c r="C132" s="11" t="s">
        <v>505</v>
      </c>
      <c r="D132" s="12" t="s">
        <v>506</v>
      </c>
      <c r="E132" s="11" t="s">
        <v>507</v>
      </c>
      <c r="F132" s="11" t="s">
        <v>508</v>
      </c>
      <c r="G132" s="10" t="s">
        <v>137</v>
      </c>
      <c r="H132" s="10" t="s">
        <v>14</v>
      </c>
      <c r="I132" s="11" t="s">
        <v>452</v>
      </c>
      <c r="J132" s="11" t="s">
        <v>108</v>
      </c>
      <c r="K132" s="13"/>
      <c r="L132" s="11" t="s">
        <v>32</v>
      </c>
    </row>
    <row r="133" customFormat="false" ht="18" hidden="false" customHeight="true" outlineLevel="0" collapsed="false">
      <c r="A133" s="10" t="n">
        <v>129</v>
      </c>
      <c r="B133" s="11" t="s">
        <v>17</v>
      </c>
      <c r="C133" s="11" t="s">
        <v>509</v>
      </c>
      <c r="D133" s="12" t="s">
        <v>510</v>
      </c>
      <c r="E133" s="11" t="s">
        <v>511</v>
      </c>
      <c r="F133" s="11" t="s">
        <v>512</v>
      </c>
      <c r="G133" s="10" t="s">
        <v>74</v>
      </c>
      <c r="H133" s="10" t="s">
        <v>8</v>
      </c>
      <c r="I133" s="11"/>
      <c r="J133" s="11" t="s">
        <v>513</v>
      </c>
      <c r="K133" s="14" t="n">
        <v>864.48</v>
      </c>
      <c r="L133" s="11" t="s">
        <v>32</v>
      </c>
    </row>
    <row r="134" customFormat="false" ht="18" hidden="false" customHeight="true" outlineLevel="0" collapsed="false">
      <c r="A134" s="10" t="n">
        <v>130</v>
      </c>
      <c r="B134" s="11" t="s">
        <v>17</v>
      </c>
      <c r="C134" s="11" t="s">
        <v>509</v>
      </c>
      <c r="D134" s="12" t="s">
        <v>514</v>
      </c>
      <c r="E134" s="11" t="s">
        <v>515</v>
      </c>
      <c r="F134" s="11" t="s">
        <v>516</v>
      </c>
      <c r="G134" s="10" t="s">
        <v>74</v>
      </c>
      <c r="H134" s="10" t="s">
        <v>8</v>
      </c>
      <c r="I134" s="11"/>
      <c r="J134" s="11" t="s">
        <v>517</v>
      </c>
      <c r="K134" s="13"/>
      <c r="L134" s="11" t="s">
        <v>32</v>
      </c>
    </row>
    <row r="135" customFormat="false" ht="24.75" hidden="false" customHeight="true" outlineLevel="0" collapsed="false">
      <c r="A135" s="10" t="n">
        <v>131</v>
      </c>
      <c r="B135" s="11" t="s">
        <v>17</v>
      </c>
      <c r="C135" s="11" t="s">
        <v>509</v>
      </c>
      <c r="D135" s="12" t="s">
        <v>518</v>
      </c>
      <c r="E135" s="11" t="s">
        <v>519</v>
      </c>
      <c r="F135" s="11" t="s">
        <v>520</v>
      </c>
      <c r="G135" s="10" t="s">
        <v>74</v>
      </c>
      <c r="H135" s="10" t="s">
        <v>8</v>
      </c>
      <c r="I135" s="11" t="s">
        <v>452</v>
      </c>
      <c r="J135" s="11" t="s">
        <v>108</v>
      </c>
      <c r="K135" s="13"/>
      <c r="L135" s="11" t="s">
        <v>32</v>
      </c>
    </row>
    <row r="136" customFormat="false" ht="24.75" hidden="false" customHeight="true" outlineLevel="0" collapsed="false">
      <c r="A136" s="10" t="n">
        <v>132</v>
      </c>
      <c r="B136" s="11" t="s">
        <v>17</v>
      </c>
      <c r="C136" s="11" t="s">
        <v>509</v>
      </c>
      <c r="D136" s="12" t="s">
        <v>487</v>
      </c>
      <c r="E136" s="11" t="s">
        <v>521</v>
      </c>
      <c r="F136" s="11" t="s">
        <v>522</v>
      </c>
      <c r="G136" s="10" t="s">
        <v>74</v>
      </c>
      <c r="H136" s="10" t="s">
        <v>8</v>
      </c>
      <c r="I136" s="11" t="s">
        <v>452</v>
      </c>
      <c r="J136" s="11" t="s">
        <v>114</v>
      </c>
      <c r="K136" s="13"/>
      <c r="L136" s="11" t="s">
        <v>32</v>
      </c>
    </row>
    <row r="137" customFormat="false" ht="18" hidden="false" customHeight="true" outlineLevel="0" collapsed="false">
      <c r="A137" s="10" t="n">
        <v>133</v>
      </c>
      <c r="B137" s="11" t="s">
        <v>17</v>
      </c>
      <c r="C137" s="11" t="s">
        <v>509</v>
      </c>
      <c r="D137" s="12" t="s">
        <v>483</v>
      </c>
      <c r="E137" s="11" t="s">
        <v>523</v>
      </c>
      <c r="F137" s="11" t="s">
        <v>524</v>
      </c>
      <c r="G137" s="10" t="s">
        <v>74</v>
      </c>
      <c r="H137" s="10" t="s">
        <v>8</v>
      </c>
      <c r="I137" s="11" t="s">
        <v>452</v>
      </c>
      <c r="J137" s="11"/>
      <c r="K137" s="14" t="n">
        <v>23.28</v>
      </c>
      <c r="L137" s="11" t="s">
        <v>32</v>
      </c>
    </row>
    <row r="138" customFormat="false" ht="24.75" hidden="false" customHeight="true" outlineLevel="0" collapsed="false">
      <c r="A138" s="10" t="n">
        <v>134</v>
      </c>
      <c r="B138" s="11" t="s">
        <v>17</v>
      </c>
      <c r="C138" s="11" t="s">
        <v>509</v>
      </c>
      <c r="D138" s="12" t="s">
        <v>525</v>
      </c>
      <c r="E138" s="11" t="s">
        <v>526</v>
      </c>
      <c r="F138" s="11" t="s">
        <v>527</v>
      </c>
      <c r="G138" s="10" t="s">
        <v>97</v>
      </c>
      <c r="H138" s="10" t="s">
        <v>8</v>
      </c>
      <c r="I138" s="11" t="s">
        <v>452</v>
      </c>
      <c r="J138" s="11" t="s">
        <v>456</v>
      </c>
      <c r="K138" s="13"/>
      <c r="L138" s="11" t="s">
        <v>32</v>
      </c>
    </row>
    <row r="139" customFormat="false" ht="24.75" hidden="false" customHeight="true" outlineLevel="0" collapsed="false">
      <c r="A139" s="10" t="n">
        <v>135</v>
      </c>
      <c r="B139" s="11" t="s">
        <v>17</v>
      </c>
      <c r="C139" s="11" t="s">
        <v>509</v>
      </c>
      <c r="D139" s="12" t="s">
        <v>528</v>
      </c>
      <c r="E139" s="11" t="s">
        <v>529</v>
      </c>
      <c r="F139" s="11" t="s">
        <v>530</v>
      </c>
      <c r="G139" s="10" t="s">
        <v>74</v>
      </c>
      <c r="H139" s="10" t="s">
        <v>8</v>
      </c>
      <c r="I139" s="11"/>
      <c r="J139" s="11" t="s">
        <v>531</v>
      </c>
      <c r="K139" s="13"/>
      <c r="L139" s="11" t="s">
        <v>32</v>
      </c>
    </row>
    <row r="140" customFormat="false" ht="24.75" hidden="false" customHeight="true" outlineLevel="0" collapsed="false">
      <c r="A140" s="10" t="n">
        <v>136</v>
      </c>
      <c r="B140" s="11" t="s">
        <v>17</v>
      </c>
      <c r="C140" s="11" t="s">
        <v>509</v>
      </c>
      <c r="D140" s="12" t="s">
        <v>532</v>
      </c>
      <c r="E140" s="11" t="s">
        <v>533</v>
      </c>
      <c r="F140" s="11" t="s">
        <v>534</v>
      </c>
      <c r="G140" s="10" t="s">
        <v>535</v>
      </c>
      <c r="H140" s="10" t="s">
        <v>16</v>
      </c>
      <c r="I140" s="11"/>
      <c r="J140" s="11" t="s">
        <v>536</v>
      </c>
      <c r="K140" s="13"/>
      <c r="L140" s="11" t="s">
        <v>32</v>
      </c>
    </row>
    <row r="141" customFormat="false" ht="24.75" hidden="false" customHeight="true" outlineLevel="0" collapsed="false">
      <c r="A141" s="10" t="n">
        <v>137</v>
      </c>
      <c r="B141" s="11" t="s">
        <v>19</v>
      </c>
      <c r="C141" s="11" t="s">
        <v>537</v>
      </c>
      <c r="D141" s="12" t="s">
        <v>538</v>
      </c>
      <c r="E141" s="11" t="s">
        <v>539</v>
      </c>
      <c r="F141" s="11" t="s">
        <v>540</v>
      </c>
      <c r="G141" s="10" t="s">
        <v>137</v>
      </c>
      <c r="H141" s="10" t="s">
        <v>14</v>
      </c>
      <c r="I141" s="11" t="s">
        <v>54</v>
      </c>
      <c r="J141" s="11" t="s">
        <v>108</v>
      </c>
      <c r="K141" s="13"/>
      <c r="L141" s="11" t="s">
        <v>32</v>
      </c>
    </row>
    <row r="142" customFormat="false" ht="24.75" hidden="false" customHeight="true" outlineLevel="0" collapsed="false">
      <c r="A142" s="10" t="n">
        <v>138</v>
      </c>
      <c r="B142" s="11" t="s">
        <v>19</v>
      </c>
      <c r="C142" s="11" t="s">
        <v>537</v>
      </c>
      <c r="D142" s="12" t="s">
        <v>541</v>
      </c>
      <c r="E142" s="11" t="s">
        <v>542</v>
      </c>
      <c r="F142" s="11" t="s">
        <v>543</v>
      </c>
      <c r="G142" s="10" t="s">
        <v>137</v>
      </c>
      <c r="H142" s="10" t="s">
        <v>14</v>
      </c>
      <c r="I142" s="11" t="s">
        <v>54</v>
      </c>
      <c r="J142" s="11" t="s">
        <v>108</v>
      </c>
      <c r="K142" s="13"/>
      <c r="L142" s="11" t="s">
        <v>32</v>
      </c>
    </row>
    <row r="143" customFormat="false" ht="75" hidden="false" customHeight="true" outlineLevel="0" collapsed="false">
      <c r="A143" s="10" t="n">
        <v>139</v>
      </c>
      <c r="B143" s="11" t="s">
        <v>19</v>
      </c>
      <c r="C143" s="11" t="s">
        <v>544</v>
      </c>
      <c r="D143" s="12" t="s">
        <v>545</v>
      </c>
      <c r="E143" s="11" t="s">
        <v>546</v>
      </c>
      <c r="F143" s="11" t="s">
        <v>547</v>
      </c>
      <c r="G143" s="10" t="s">
        <v>69</v>
      </c>
      <c r="H143" s="10" t="s">
        <v>10</v>
      </c>
      <c r="I143" s="11" t="s">
        <v>98</v>
      </c>
      <c r="J143" s="11"/>
      <c r="K143" s="13"/>
      <c r="L143" s="11" t="s">
        <v>32</v>
      </c>
    </row>
    <row r="144" customFormat="false" ht="18" hidden="false" customHeight="true" outlineLevel="0" collapsed="false">
      <c r="A144" s="10" t="n">
        <v>140</v>
      </c>
      <c r="B144" s="11" t="s">
        <v>19</v>
      </c>
      <c r="C144" s="11" t="s">
        <v>544</v>
      </c>
      <c r="D144" s="12" t="s">
        <v>548</v>
      </c>
      <c r="E144" s="11" t="s">
        <v>549</v>
      </c>
      <c r="F144" s="11" t="s">
        <v>550</v>
      </c>
      <c r="G144" s="10" t="s">
        <v>137</v>
      </c>
      <c r="H144" s="10" t="s">
        <v>14</v>
      </c>
      <c r="I144" s="11"/>
      <c r="J144" s="11" t="s">
        <v>551</v>
      </c>
      <c r="K144" s="17" t="n">
        <v>0.568</v>
      </c>
      <c r="L144" s="11" t="s">
        <v>32</v>
      </c>
    </row>
    <row r="145" customFormat="false" ht="18" hidden="false" customHeight="true" outlineLevel="0" collapsed="false">
      <c r="A145" s="10" t="n">
        <v>141</v>
      </c>
      <c r="B145" s="11" t="s">
        <v>19</v>
      </c>
      <c r="C145" s="11" t="s">
        <v>544</v>
      </c>
      <c r="D145" s="12" t="s">
        <v>552</v>
      </c>
      <c r="E145" s="11" t="s">
        <v>553</v>
      </c>
      <c r="F145" s="11" t="s">
        <v>554</v>
      </c>
      <c r="G145" s="10" t="s">
        <v>97</v>
      </c>
      <c r="H145" s="10" t="s">
        <v>8</v>
      </c>
      <c r="I145" s="11" t="s">
        <v>54</v>
      </c>
      <c r="J145" s="11" t="s">
        <v>99</v>
      </c>
      <c r="K145" s="13"/>
      <c r="L145" s="11" t="s">
        <v>32</v>
      </c>
    </row>
    <row r="146" customFormat="false" ht="18" hidden="false" customHeight="true" outlineLevel="0" collapsed="false">
      <c r="A146" s="10" t="n">
        <v>142</v>
      </c>
      <c r="B146" s="11" t="s">
        <v>19</v>
      </c>
      <c r="C146" s="11" t="s">
        <v>544</v>
      </c>
      <c r="D146" s="12" t="s">
        <v>555</v>
      </c>
      <c r="E146" s="11" t="s">
        <v>556</v>
      </c>
      <c r="F146" s="11" t="s">
        <v>557</v>
      </c>
      <c r="G146" s="10" t="s">
        <v>97</v>
      </c>
      <c r="H146" s="10" t="s">
        <v>8</v>
      </c>
      <c r="I146" s="11" t="s">
        <v>54</v>
      </c>
      <c r="J146" s="11" t="s">
        <v>108</v>
      </c>
      <c r="K146" s="13"/>
      <c r="L146" s="11" t="s">
        <v>32</v>
      </c>
    </row>
    <row r="147" customFormat="false" ht="18" hidden="false" customHeight="true" outlineLevel="0" collapsed="false">
      <c r="A147" s="10" t="n">
        <v>143</v>
      </c>
      <c r="B147" s="11" t="s">
        <v>19</v>
      </c>
      <c r="C147" s="11" t="s">
        <v>544</v>
      </c>
      <c r="D147" s="12" t="s">
        <v>558</v>
      </c>
      <c r="E147" s="11" t="s">
        <v>559</v>
      </c>
      <c r="F147" s="11" t="s">
        <v>560</v>
      </c>
      <c r="G147" s="10" t="s">
        <v>74</v>
      </c>
      <c r="H147" s="10" t="s">
        <v>8</v>
      </c>
      <c r="I147" s="11"/>
      <c r="J147" s="11" t="s">
        <v>561</v>
      </c>
      <c r="K147" s="15" t="n">
        <v>427</v>
      </c>
      <c r="L147" s="11" t="s">
        <v>32</v>
      </c>
    </row>
    <row r="148" customFormat="false" ht="24.75" hidden="false" customHeight="true" outlineLevel="0" collapsed="false">
      <c r="A148" s="10" t="n">
        <v>144</v>
      </c>
      <c r="B148" s="11" t="s">
        <v>19</v>
      </c>
      <c r="C148" s="11" t="s">
        <v>544</v>
      </c>
      <c r="D148" s="12" t="s">
        <v>562</v>
      </c>
      <c r="E148" s="11" t="s">
        <v>563</v>
      </c>
      <c r="F148" s="11" t="s">
        <v>564</v>
      </c>
      <c r="G148" s="10" t="s">
        <v>74</v>
      </c>
      <c r="H148" s="10" t="s">
        <v>8</v>
      </c>
      <c r="I148" s="11" t="s">
        <v>54</v>
      </c>
      <c r="J148" s="11" t="s">
        <v>565</v>
      </c>
      <c r="K148" s="15" t="n">
        <v>512</v>
      </c>
      <c r="L148" s="11" t="s">
        <v>32</v>
      </c>
    </row>
    <row r="149" customFormat="false" ht="24.75" hidden="false" customHeight="true" outlineLevel="0" collapsed="false">
      <c r="A149" s="10" t="n">
        <v>145</v>
      </c>
      <c r="B149" s="11" t="s">
        <v>19</v>
      </c>
      <c r="C149" s="11" t="s">
        <v>544</v>
      </c>
      <c r="D149" s="12" t="s">
        <v>566</v>
      </c>
      <c r="E149" s="11" t="s">
        <v>567</v>
      </c>
      <c r="F149" s="11" t="s">
        <v>568</v>
      </c>
      <c r="G149" s="10" t="s">
        <v>137</v>
      </c>
      <c r="H149" s="10" t="s">
        <v>14</v>
      </c>
      <c r="I149" s="11" t="s">
        <v>54</v>
      </c>
      <c r="J149" s="11" t="s">
        <v>108</v>
      </c>
      <c r="K149" s="13"/>
      <c r="L149" s="11" t="s">
        <v>32</v>
      </c>
    </row>
    <row r="150" customFormat="false" ht="18" hidden="false" customHeight="true" outlineLevel="0" collapsed="false">
      <c r="A150" s="10" t="n">
        <v>146</v>
      </c>
      <c r="B150" s="11" t="s">
        <v>19</v>
      </c>
      <c r="C150" s="11" t="s">
        <v>569</v>
      </c>
      <c r="D150" s="12" t="s">
        <v>570</v>
      </c>
      <c r="E150" s="11" t="s">
        <v>571</v>
      </c>
      <c r="F150" s="11" t="s">
        <v>572</v>
      </c>
      <c r="G150" s="10" t="s">
        <v>69</v>
      </c>
      <c r="H150" s="10" t="s">
        <v>10</v>
      </c>
      <c r="I150" s="11" t="s">
        <v>54</v>
      </c>
      <c r="J150" s="11"/>
      <c r="K150" s="13"/>
      <c r="L150" s="11" t="s">
        <v>32</v>
      </c>
    </row>
    <row r="151" customFormat="false" ht="18" hidden="false" customHeight="true" outlineLevel="0" collapsed="false">
      <c r="A151" s="10" t="n">
        <v>147</v>
      </c>
      <c r="B151" s="11" t="s">
        <v>19</v>
      </c>
      <c r="C151" s="11" t="s">
        <v>569</v>
      </c>
      <c r="D151" s="12" t="s">
        <v>573</v>
      </c>
      <c r="E151" s="11" t="s">
        <v>574</v>
      </c>
      <c r="F151" s="11" t="s">
        <v>575</v>
      </c>
      <c r="G151" s="10" t="s">
        <v>69</v>
      </c>
      <c r="H151" s="10" t="s">
        <v>10</v>
      </c>
      <c r="I151" s="11" t="s">
        <v>54</v>
      </c>
      <c r="J151" s="11"/>
      <c r="K151" s="13"/>
      <c r="L151" s="11" t="s">
        <v>32</v>
      </c>
    </row>
    <row r="152" customFormat="false" ht="24.75" hidden="false" customHeight="true" outlineLevel="0" collapsed="false">
      <c r="A152" s="10" t="n">
        <v>148</v>
      </c>
      <c r="B152" s="11" t="s">
        <v>19</v>
      </c>
      <c r="C152" s="11" t="s">
        <v>569</v>
      </c>
      <c r="D152" s="12" t="s">
        <v>576</v>
      </c>
      <c r="E152" s="11" t="s">
        <v>577</v>
      </c>
      <c r="F152" s="11" t="s">
        <v>578</v>
      </c>
      <c r="G152" s="10" t="s">
        <v>137</v>
      </c>
      <c r="H152" s="10" t="s">
        <v>14</v>
      </c>
      <c r="I152" s="11"/>
      <c r="J152" s="11" t="s">
        <v>579</v>
      </c>
      <c r="K152" s="13"/>
      <c r="L152" s="11" t="s">
        <v>32</v>
      </c>
    </row>
    <row r="153" customFormat="false" ht="24.75" hidden="false" customHeight="true" outlineLevel="0" collapsed="false">
      <c r="A153" s="10" t="n">
        <v>149</v>
      </c>
      <c r="B153" s="11" t="s">
        <v>21</v>
      </c>
      <c r="C153" s="11" t="s">
        <v>580</v>
      </c>
      <c r="D153" s="12" t="s">
        <v>581</v>
      </c>
      <c r="E153" s="11" t="s">
        <v>582</v>
      </c>
      <c r="F153" s="11" t="s">
        <v>583</v>
      </c>
      <c r="G153" s="10" t="s">
        <v>69</v>
      </c>
      <c r="H153" s="10" t="s">
        <v>10</v>
      </c>
      <c r="I153" s="11" t="s">
        <v>54</v>
      </c>
      <c r="J153" s="11"/>
      <c r="K153" s="13"/>
      <c r="L153" s="11" t="s">
        <v>32</v>
      </c>
    </row>
    <row r="154" customFormat="false" ht="24.75" hidden="false" customHeight="true" outlineLevel="0" collapsed="false">
      <c r="A154" s="10" t="n">
        <v>150</v>
      </c>
      <c r="B154" s="11" t="s">
        <v>21</v>
      </c>
      <c r="C154" s="11" t="s">
        <v>580</v>
      </c>
      <c r="D154" s="12" t="s">
        <v>584</v>
      </c>
      <c r="E154" s="11" t="s">
        <v>585</v>
      </c>
      <c r="F154" s="11" t="s">
        <v>586</v>
      </c>
      <c r="G154" s="10" t="s">
        <v>69</v>
      </c>
      <c r="H154" s="10" t="s">
        <v>10</v>
      </c>
      <c r="I154" s="11" t="s">
        <v>54</v>
      </c>
      <c r="J154" s="11"/>
      <c r="K154" s="13"/>
      <c r="L154" s="11" t="s">
        <v>32</v>
      </c>
    </row>
    <row r="155" customFormat="false" ht="24.75" hidden="false" customHeight="true" outlineLevel="0" collapsed="false">
      <c r="A155" s="10" t="n">
        <v>151</v>
      </c>
      <c r="B155" s="11" t="s">
        <v>21</v>
      </c>
      <c r="C155" s="11" t="s">
        <v>580</v>
      </c>
      <c r="D155" s="12" t="s">
        <v>587</v>
      </c>
      <c r="E155" s="11" t="s">
        <v>588</v>
      </c>
      <c r="F155" s="11" t="s">
        <v>589</v>
      </c>
      <c r="G155" s="10" t="s">
        <v>69</v>
      </c>
      <c r="H155" s="10" t="s">
        <v>10</v>
      </c>
      <c r="I155" s="11" t="s">
        <v>54</v>
      </c>
      <c r="J155" s="11"/>
      <c r="K155" s="13"/>
      <c r="L155" s="11" t="s">
        <v>32</v>
      </c>
    </row>
    <row r="156" customFormat="false" ht="18" hidden="false" customHeight="true" outlineLevel="0" collapsed="false">
      <c r="A156" s="10" t="n">
        <v>152</v>
      </c>
      <c r="B156" s="11" t="s">
        <v>21</v>
      </c>
      <c r="C156" s="11" t="s">
        <v>580</v>
      </c>
      <c r="D156" s="12" t="s">
        <v>309</v>
      </c>
      <c r="E156" s="11" t="s">
        <v>590</v>
      </c>
      <c r="F156" s="11" t="s">
        <v>591</v>
      </c>
      <c r="G156" s="10" t="s">
        <v>137</v>
      </c>
      <c r="H156" s="10" t="s">
        <v>14</v>
      </c>
      <c r="I156" s="11"/>
      <c r="J156" s="11" t="s">
        <v>592</v>
      </c>
      <c r="K156" s="17" t="n">
        <v>0.755</v>
      </c>
      <c r="L156" s="11" t="s">
        <v>32</v>
      </c>
    </row>
    <row r="157" customFormat="false" ht="18" hidden="false" customHeight="true" outlineLevel="0" collapsed="false">
      <c r="A157" s="10" t="n">
        <v>153</v>
      </c>
      <c r="B157" s="11" t="s">
        <v>21</v>
      </c>
      <c r="C157" s="11" t="s">
        <v>580</v>
      </c>
      <c r="D157" s="12" t="s">
        <v>593</v>
      </c>
      <c r="E157" s="11" t="s">
        <v>594</v>
      </c>
      <c r="F157" s="11" t="s">
        <v>595</v>
      </c>
      <c r="G157" s="10" t="s">
        <v>137</v>
      </c>
      <c r="H157" s="10" t="s">
        <v>14</v>
      </c>
      <c r="I157" s="11"/>
      <c r="J157" s="11" t="s">
        <v>596</v>
      </c>
      <c r="K157" s="13"/>
      <c r="L157" s="11" t="s">
        <v>32</v>
      </c>
    </row>
    <row r="158" customFormat="false" ht="18" hidden="false" customHeight="true" outlineLevel="0" collapsed="false">
      <c r="A158" s="10" t="n">
        <v>154</v>
      </c>
      <c r="B158" s="11" t="s">
        <v>21</v>
      </c>
      <c r="C158" s="11" t="s">
        <v>580</v>
      </c>
      <c r="D158" s="12" t="s">
        <v>597</v>
      </c>
      <c r="E158" s="11" t="s">
        <v>598</v>
      </c>
      <c r="F158" s="11" t="s">
        <v>599</v>
      </c>
      <c r="G158" s="10" t="s">
        <v>600</v>
      </c>
      <c r="H158" s="10" t="s">
        <v>12</v>
      </c>
      <c r="I158" s="11" t="s">
        <v>54</v>
      </c>
      <c r="J158" s="11"/>
      <c r="K158" s="19" t="n">
        <v>5.28</v>
      </c>
      <c r="L158" s="11" t="s">
        <v>32</v>
      </c>
    </row>
    <row r="159" customFormat="false" ht="24.75" hidden="false" customHeight="true" outlineLevel="0" collapsed="false">
      <c r="A159" s="10" t="n">
        <v>155</v>
      </c>
      <c r="B159" s="11" t="s">
        <v>21</v>
      </c>
      <c r="C159" s="11" t="s">
        <v>580</v>
      </c>
      <c r="D159" s="12" t="s">
        <v>601</v>
      </c>
      <c r="E159" s="11" t="s">
        <v>602</v>
      </c>
      <c r="F159" s="11" t="s">
        <v>603</v>
      </c>
      <c r="G159" s="10" t="s">
        <v>600</v>
      </c>
      <c r="H159" s="10" t="s">
        <v>12</v>
      </c>
      <c r="I159" s="11" t="s">
        <v>54</v>
      </c>
      <c r="J159" s="11"/>
      <c r="K159" s="13"/>
      <c r="L159" s="11" t="s">
        <v>32</v>
      </c>
    </row>
    <row r="160" customFormat="false" ht="18" hidden="false" customHeight="true" outlineLevel="0" collapsed="false">
      <c r="A160" s="10" t="n">
        <v>156</v>
      </c>
      <c r="B160" s="11" t="s">
        <v>21</v>
      </c>
      <c r="C160" s="11" t="s">
        <v>604</v>
      </c>
      <c r="D160" s="12" t="s">
        <v>605</v>
      </c>
      <c r="E160" s="11" t="s">
        <v>606</v>
      </c>
      <c r="F160" s="11" t="s">
        <v>607</v>
      </c>
      <c r="G160" s="10" t="s">
        <v>69</v>
      </c>
      <c r="H160" s="10" t="s">
        <v>10</v>
      </c>
      <c r="I160" s="11" t="s">
        <v>54</v>
      </c>
      <c r="J160" s="11"/>
      <c r="K160" s="16" t="n">
        <v>950</v>
      </c>
      <c r="L160" s="11" t="s">
        <v>32</v>
      </c>
    </row>
    <row r="161" customFormat="false" ht="18" hidden="false" customHeight="true" outlineLevel="0" collapsed="false">
      <c r="A161" s="10" t="n">
        <v>157</v>
      </c>
      <c r="B161" s="11" t="s">
        <v>21</v>
      </c>
      <c r="C161" s="11" t="s">
        <v>604</v>
      </c>
      <c r="D161" s="12" t="s">
        <v>312</v>
      </c>
      <c r="E161" s="11" t="s">
        <v>608</v>
      </c>
      <c r="F161" s="11" t="s">
        <v>609</v>
      </c>
      <c r="G161" s="10" t="s">
        <v>137</v>
      </c>
      <c r="H161" s="10" t="s">
        <v>14</v>
      </c>
      <c r="I161" s="11"/>
      <c r="J161" s="11" t="s">
        <v>610</v>
      </c>
      <c r="K161" s="18" t="n">
        <v>0.0796</v>
      </c>
      <c r="L161" s="11" t="s">
        <v>32</v>
      </c>
    </row>
    <row r="162" customFormat="false" ht="18" hidden="false" customHeight="true" outlineLevel="0" collapsed="false">
      <c r="A162" s="10" t="n">
        <v>158</v>
      </c>
      <c r="B162" s="11" t="s">
        <v>21</v>
      </c>
      <c r="C162" s="11" t="s">
        <v>604</v>
      </c>
      <c r="D162" s="12" t="s">
        <v>611</v>
      </c>
      <c r="E162" s="11" t="s">
        <v>612</v>
      </c>
      <c r="F162" s="11" t="s">
        <v>613</v>
      </c>
      <c r="G162" s="10" t="s">
        <v>97</v>
      </c>
      <c r="H162" s="10" t="s">
        <v>8</v>
      </c>
      <c r="I162" s="11" t="s">
        <v>54</v>
      </c>
      <c r="J162" s="11" t="s">
        <v>108</v>
      </c>
      <c r="K162" s="13"/>
      <c r="L162" s="11" t="s">
        <v>32</v>
      </c>
    </row>
    <row r="163" customFormat="false" ht="18" hidden="false" customHeight="true" outlineLevel="0" collapsed="false">
      <c r="A163" s="10" t="n">
        <v>159</v>
      </c>
      <c r="B163" s="11" t="s">
        <v>21</v>
      </c>
      <c r="C163" s="11" t="s">
        <v>604</v>
      </c>
      <c r="D163" s="12" t="s">
        <v>614</v>
      </c>
      <c r="E163" s="11" t="s">
        <v>615</v>
      </c>
      <c r="F163" s="11" t="s">
        <v>616</v>
      </c>
      <c r="G163" s="10" t="s">
        <v>137</v>
      </c>
      <c r="H163" s="10" t="s">
        <v>14</v>
      </c>
      <c r="I163" s="11"/>
      <c r="J163" s="11" t="s">
        <v>617</v>
      </c>
      <c r="K163" s="13"/>
      <c r="L163" s="11" t="s">
        <v>32</v>
      </c>
    </row>
    <row r="164" customFormat="false" ht="18" hidden="false" customHeight="true" outlineLevel="0" collapsed="false">
      <c r="A164" s="10" t="n">
        <v>160</v>
      </c>
      <c r="B164" s="11" t="s">
        <v>21</v>
      </c>
      <c r="C164" s="11" t="s">
        <v>618</v>
      </c>
      <c r="D164" s="12" t="s">
        <v>619</v>
      </c>
      <c r="E164" s="11" t="s">
        <v>620</v>
      </c>
      <c r="F164" s="11" t="s">
        <v>621</v>
      </c>
      <c r="G164" s="10" t="s">
        <v>74</v>
      </c>
      <c r="H164" s="10" t="s">
        <v>8</v>
      </c>
      <c r="I164" s="11"/>
      <c r="J164" s="11" t="s">
        <v>622</v>
      </c>
      <c r="K164" s="13"/>
      <c r="L164" s="11" t="s">
        <v>32</v>
      </c>
    </row>
    <row r="165" customFormat="false" ht="18" hidden="false" customHeight="true" outlineLevel="0" collapsed="false">
      <c r="A165" s="10" t="n">
        <v>161</v>
      </c>
      <c r="B165" s="11" t="s">
        <v>21</v>
      </c>
      <c r="C165" s="11" t="s">
        <v>618</v>
      </c>
      <c r="D165" s="12" t="s">
        <v>623</v>
      </c>
      <c r="E165" s="11" t="s">
        <v>624</v>
      </c>
      <c r="F165" s="11" t="s">
        <v>625</v>
      </c>
      <c r="G165" s="10" t="s">
        <v>137</v>
      </c>
      <c r="H165" s="10" t="s">
        <v>14</v>
      </c>
      <c r="I165" s="11"/>
      <c r="J165" s="11" t="s">
        <v>626</v>
      </c>
      <c r="K165" s="13"/>
      <c r="L165" s="11" t="s">
        <v>32</v>
      </c>
    </row>
    <row r="166" customFormat="false" ht="24.75" hidden="false" customHeight="true" outlineLevel="0" collapsed="false">
      <c r="A166" s="10" t="n">
        <v>162</v>
      </c>
      <c r="B166" s="11" t="s">
        <v>21</v>
      </c>
      <c r="C166" s="11" t="s">
        <v>618</v>
      </c>
      <c r="D166" s="12" t="s">
        <v>627</v>
      </c>
      <c r="E166" s="11" t="s">
        <v>628</v>
      </c>
      <c r="F166" s="11" t="s">
        <v>629</v>
      </c>
      <c r="G166" s="10" t="s">
        <v>137</v>
      </c>
      <c r="H166" s="10" t="s">
        <v>14</v>
      </c>
      <c r="I166" s="11" t="s">
        <v>54</v>
      </c>
      <c r="J166" s="11"/>
      <c r="K166" s="13"/>
      <c r="L166" s="11" t="s">
        <v>32</v>
      </c>
    </row>
    <row r="167" customFormat="false" ht="18" hidden="false" customHeight="true" outlineLevel="0" collapsed="false">
      <c r="A167" s="10" t="n">
        <v>163</v>
      </c>
      <c r="B167" s="11" t="s">
        <v>21</v>
      </c>
      <c r="C167" s="11" t="s">
        <v>618</v>
      </c>
      <c r="D167" s="12" t="s">
        <v>630</v>
      </c>
      <c r="E167" s="11" t="s">
        <v>631</v>
      </c>
      <c r="F167" s="11" t="s">
        <v>632</v>
      </c>
      <c r="G167" s="10" t="s">
        <v>69</v>
      </c>
      <c r="H167" s="10" t="s">
        <v>10</v>
      </c>
      <c r="I167" s="11" t="s">
        <v>54</v>
      </c>
      <c r="J167" s="11"/>
      <c r="K167" s="13"/>
      <c r="L167" s="11" t="s">
        <v>32</v>
      </c>
    </row>
    <row r="168" customFormat="false" ht="18" hidden="false" customHeight="true" outlineLevel="0" collapsed="false">
      <c r="A168" s="10" t="n">
        <v>164</v>
      </c>
      <c r="B168" s="11" t="s">
        <v>23</v>
      </c>
      <c r="C168" s="11"/>
      <c r="D168" s="12" t="s">
        <v>633</v>
      </c>
      <c r="E168" s="11" t="s">
        <v>634</v>
      </c>
      <c r="F168" s="11" t="s">
        <v>635</v>
      </c>
      <c r="G168" s="10" t="s">
        <v>79</v>
      </c>
      <c r="H168" s="10" t="s">
        <v>12</v>
      </c>
      <c r="I168" s="11" t="s">
        <v>54</v>
      </c>
      <c r="J168" s="11"/>
      <c r="K168" s="19" t="n">
        <v>3.91</v>
      </c>
      <c r="L168" s="11" t="s">
        <v>32</v>
      </c>
    </row>
    <row r="169" customFormat="false" ht="49.5" hidden="false" customHeight="true" outlineLevel="0" collapsed="false">
      <c r="A169" s="10" t="n">
        <v>165</v>
      </c>
      <c r="B169" s="11" t="s">
        <v>23</v>
      </c>
      <c r="C169" s="11"/>
      <c r="D169" s="12" t="s">
        <v>636</v>
      </c>
      <c r="E169" s="11" t="s">
        <v>637</v>
      </c>
      <c r="F169" s="11" t="s">
        <v>638</v>
      </c>
      <c r="G169" s="10" t="s">
        <v>69</v>
      </c>
      <c r="H169" s="10" t="s">
        <v>10</v>
      </c>
      <c r="I169" s="11" t="s">
        <v>54</v>
      </c>
      <c r="J169" s="11"/>
      <c r="K169" s="16" t="n">
        <v>10755</v>
      </c>
      <c r="L169" s="11" t="s">
        <v>32</v>
      </c>
    </row>
    <row r="170" customFormat="false" ht="24.75" hidden="false" customHeight="true" outlineLevel="0" collapsed="false">
      <c r="A170" s="10" t="n">
        <v>166</v>
      </c>
      <c r="B170" s="11" t="s">
        <v>23</v>
      </c>
      <c r="C170" s="11"/>
      <c r="D170" s="12" t="s">
        <v>639</v>
      </c>
      <c r="E170" s="11" t="s">
        <v>640</v>
      </c>
      <c r="F170" s="11" t="s">
        <v>641</v>
      </c>
      <c r="G170" s="10" t="s">
        <v>137</v>
      </c>
      <c r="H170" s="10" t="s">
        <v>14</v>
      </c>
      <c r="I170" s="11" t="s">
        <v>54</v>
      </c>
      <c r="J170" s="11" t="s">
        <v>636</v>
      </c>
      <c r="K170" s="17" t="n">
        <v>0.543</v>
      </c>
      <c r="L170" s="11" t="s">
        <v>32</v>
      </c>
    </row>
    <row r="171" customFormat="false" ht="24.75" hidden="false" customHeight="true" outlineLevel="0" collapsed="false">
      <c r="A171" s="10" t="n">
        <v>167</v>
      </c>
      <c r="B171" s="11" t="s">
        <v>23</v>
      </c>
      <c r="C171" s="11"/>
      <c r="D171" s="12" t="s">
        <v>642</v>
      </c>
      <c r="E171" s="11" t="s">
        <v>643</v>
      </c>
      <c r="F171" s="11" t="s">
        <v>644</v>
      </c>
      <c r="G171" s="10" t="s">
        <v>137</v>
      </c>
      <c r="H171" s="10" t="s">
        <v>14</v>
      </c>
      <c r="I171" s="11" t="s">
        <v>54</v>
      </c>
      <c r="J171" s="11" t="s">
        <v>636</v>
      </c>
      <c r="K171" s="17" t="n">
        <v>0.334</v>
      </c>
      <c r="L171" s="11" t="s">
        <v>32</v>
      </c>
    </row>
    <row r="172" customFormat="false" ht="24.75" hidden="false" customHeight="true" outlineLevel="0" collapsed="false">
      <c r="A172" s="10" t="n">
        <v>168</v>
      </c>
      <c r="B172" s="11" t="s">
        <v>23</v>
      </c>
      <c r="C172" s="11"/>
      <c r="D172" s="12" t="s">
        <v>645</v>
      </c>
      <c r="E172" s="11" t="s">
        <v>646</v>
      </c>
      <c r="F172" s="11" t="s">
        <v>647</v>
      </c>
      <c r="G172" s="10" t="s">
        <v>137</v>
      </c>
      <c r="H172" s="10" t="s">
        <v>14</v>
      </c>
      <c r="I172" s="11" t="s">
        <v>54</v>
      </c>
      <c r="J172" s="11" t="s">
        <v>636</v>
      </c>
      <c r="K172" s="17" t="n">
        <v>0.123</v>
      </c>
      <c r="L172" s="11" t="s">
        <v>32</v>
      </c>
    </row>
    <row r="173" customFormat="false" ht="24.75" hidden="false" customHeight="true" outlineLevel="0" collapsed="false">
      <c r="A173" s="10" t="n">
        <v>169</v>
      </c>
      <c r="B173" s="11" t="s">
        <v>23</v>
      </c>
      <c r="C173" s="11"/>
      <c r="D173" s="12" t="s">
        <v>648</v>
      </c>
      <c r="E173" s="11" t="s">
        <v>649</v>
      </c>
      <c r="F173" s="11" t="s">
        <v>650</v>
      </c>
      <c r="G173" s="10" t="s">
        <v>137</v>
      </c>
      <c r="H173" s="10" t="s">
        <v>14</v>
      </c>
      <c r="I173" s="11"/>
      <c r="J173" s="11" t="s">
        <v>651</v>
      </c>
      <c r="K173" s="13"/>
      <c r="L173" s="11" t="s">
        <v>32</v>
      </c>
    </row>
    <row r="174" customFormat="false" ht="24.75" hidden="false" customHeight="true" outlineLevel="0" collapsed="false">
      <c r="A174" s="10" t="n">
        <v>170</v>
      </c>
      <c r="B174" s="11" t="s">
        <v>23</v>
      </c>
      <c r="C174" s="11"/>
      <c r="D174" s="12" t="s">
        <v>652</v>
      </c>
      <c r="E174" s="11" t="s">
        <v>653</v>
      </c>
      <c r="F174" s="11" t="s">
        <v>654</v>
      </c>
      <c r="G174" s="10" t="s">
        <v>137</v>
      </c>
      <c r="H174" s="10" t="s">
        <v>14</v>
      </c>
      <c r="I174" s="11" t="s">
        <v>54</v>
      </c>
      <c r="J174" s="11"/>
      <c r="K174" s="17" t="n">
        <v>0.543</v>
      </c>
      <c r="L174" s="11" t="s">
        <v>32</v>
      </c>
    </row>
    <row r="175" customFormat="false" ht="24.75" hidden="false" customHeight="true" outlineLevel="0" collapsed="false">
      <c r="A175" s="10" t="n">
        <v>171</v>
      </c>
      <c r="B175" s="11" t="s">
        <v>23</v>
      </c>
      <c r="C175" s="11"/>
      <c r="D175" s="12" t="s">
        <v>655</v>
      </c>
      <c r="E175" s="11" t="s">
        <v>656</v>
      </c>
      <c r="F175" s="11" t="s">
        <v>657</v>
      </c>
      <c r="G175" s="10" t="s">
        <v>79</v>
      </c>
      <c r="H175" s="10" t="s">
        <v>12</v>
      </c>
      <c r="I175" s="11" t="s">
        <v>54</v>
      </c>
      <c r="J175" s="11"/>
      <c r="K175" s="13"/>
      <c r="L175" s="11" t="s">
        <v>32</v>
      </c>
    </row>
    <row r="176" customFormat="false" ht="24.75" hidden="false" customHeight="true" outlineLevel="0" collapsed="false">
      <c r="A176" s="10" t="n">
        <v>172</v>
      </c>
      <c r="B176" s="11" t="s">
        <v>23</v>
      </c>
      <c r="C176" s="11"/>
      <c r="D176" s="12" t="s">
        <v>658</v>
      </c>
      <c r="E176" s="11" t="s">
        <v>659</v>
      </c>
      <c r="F176" s="11" t="s">
        <v>660</v>
      </c>
      <c r="G176" s="10" t="s">
        <v>79</v>
      </c>
      <c r="H176" s="10" t="s">
        <v>12</v>
      </c>
      <c r="I176" s="11" t="s">
        <v>54</v>
      </c>
      <c r="J176" s="11"/>
      <c r="K176" s="13"/>
      <c r="L176" s="11" t="s">
        <v>32</v>
      </c>
    </row>
    <row r="177" customFormat="false" ht="24.75" hidden="false" customHeight="true" outlineLevel="0" collapsed="false">
      <c r="A177" s="10" t="n">
        <v>173</v>
      </c>
      <c r="B177" s="11" t="s">
        <v>23</v>
      </c>
      <c r="C177" s="11"/>
      <c r="D177" s="12" t="s">
        <v>661</v>
      </c>
      <c r="E177" s="11" t="s">
        <v>662</v>
      </c>
      <c r="F177" s="11" t="s">
        <v>663</v>
      </c>
      <c r="G177" s="10" t="s">
        <v>79</v>
      </c>
      <c r="H177" s="10" t="s">
        <v>12</v>
      </c>
      <c r="I177" s="11"/>
      <c r="J177" s="11" t="s">
        <v>664</v>
      </c>
      <c r="K177" s="19" t="n">
        <v>1.07</v>
      </c>
      <c r="L177" s="11" t="s">
        <v>32</v>
      </c>
    </row>
    <row r="178" customFormat="false" ht="24.75" hidden="false" customHeight="true" outlineLevel="0" collapsed="false">
      <c r="A178" s="10" t="n">
        <v>174</v>
      </c>
      <c r="B178" s="11" t="s">
        <v>25</v>
      </c>
      <c r="C178" s="11" t="s">
        <v>665</v>
      </c>
      <c r="D178" s="12" t="s">
        <v>666</v>
      </c>
      <c r="E178" s="11" t="s">
        <v>667</v>
      </c>
      <c r="F178" s="11" t="s">
        <v>668</v>
      </c>
      <c r="G178" s="10" t="s">
        <v>137</v>
      </c>
      <c r="H178" s="10" t="s">
        <v>14</v>
      </c>
      <c r="I178" s="11" t="s">
        <v>390</v>
      </c>
      <c r="J178" s="11" t="s">
        <v>108</v>
      </c>
      <c r="K178" s="17" t="n">
        <v>0.466</v>
      </c>
      <c r="L178" s="11" t="s">
        <v>31</v>
      </c>
    </row>
    <row r="179" customFormat="false" ht="24.75" hidden="false" customHeight="true" outlineLevel="0" collapsed="false">
      <c r="A179" s="10" t="n">
        <v>175</v>
      </c>
      <c r="B179" s="11" t="s">
        <v>25</v>
      </c>
      <c r="C179" s="11" t="s">
        <v>665</v>
      </c>
      <c r="D179" s="12" t="s">
        <v>669</v>
      </c>
      <c r="E179" s="11" t="s">
        <v>670</v>
      </c>
      <c r="F179" s="11" t="s">
        <v>671</v>
      </c>
      <c r="G179" s="10" t="s">
        <v>137</v>
      </c>
      <c r="H179" s="10" t="s">
        <v>14</v>
      </c>
      <c r="I179" s="11" t="s">
        <v>390</v>
      </c>
      <c r="J179" s="11" t="s">
        <v>134</v>
      </c>
      <c r="K179" s="17" t="n">
        <v>0.218</v>
      </c>
      <c r="L179" s="11" t="s">
        <v>31</v>
      </c>
    </row>
    <row r="180" customFormat="false" ht="18" hidden="false" customHeight="true" outlineLevel="0" collapsed="false">
      <c r="A180" s="10" t="n">
        <v>176</v>
      </c>
      <c r="B180" s="11" t="s">
        <v>25</v>
      </c>
      <c r="C180" s="11" t="s">
        <v>665</v>
      </c>
      <c r="D180" s="12" t="s">
        <v>672</v>
      </c>
      <c r="E180" s="11" t="s">
        <v>673</v>
      </c>
      <c r="F180" s="11" t="s">
        <v>674</v>
      </c>
      <c r="G180" s="10" t="s">
        <v>137</v>
      </c>
      <c r="H180" s="10" t="s">
        <v>14</v>
      </c>
      <c r="I180" s="11" t="s">
        <v>62</v>
      </c>
      <c r="J180" s="11" t="s">
        <v>309</v>
      </c>
      <c r="K180" s="17" t="n">
        <v>0.678</v>
      </c>
      <c r="L180" s="11" t="s">
        <v>31</v>
      </c>
    </row>
    <row r="181" customFormat="false" ht="18" hidden="false" customHeight="true" outlineLevel="0" collapsed="false">
      <c r="A181" s="10" t="n">
        <v>177</v>
      </c>
      <c r="B181" s="11" t="s">
        <v>25</v>
      </c>
      <c r="C181" s="11" t="s">
        <v>665</v>
      </c>
      <c r="D181" s="12" t="s">
        <v>675</v>
      </c>
      <c r="E181" s="11" t="s">
        <v>676</v>
      </c>
      <c r="F181" s="11" t="s">
        <v>677</v>
      </c>
      <c r="G181" s="10" t="s">
        <v>137</v>
      </c>
      <c r="H181" s="10" t="s">
        <v>14</v>
      </c>
      <c r="I181" s="11" t="s">
        <v>62</v>
      </c>
      <c r="J181" s="11" t="s">
        <v>309</v>
      </c>
      <c r="K181" s="17" t="n">
        <v>0.778</v>
      </c>
      <c r="L181" s="11" t="s">
        <v>31</v>
      </c>
    </row>
    <row r="182" customFormat="false" ht="24.75" hidden="false" customHeight="true" outlineLevel="0" collapsed="false">
      <c r="A182" s="10" t="n">
        <v>178</v>
      </c>
      <c r="B182" s="11" t="s">
        <v>25</v>
      </c>
      <c r="C182" s="11" t="s">
        <v>665</v>
      </c>
      <c r="D182" s="12" t="s">
        <v>678</v>
      </c>
      <c r="E182" s="11" t="s">
        <v>679</v>
      </c>
      <c r="F182" s="11" t="s">
        <v>680</v>
      </c>
      <c r="G182" s="10" t="s">
        <v>137</v>
      </c>
      <c r="H182" s="10" t="s">
        <v>14</v>
      </c>
      <c r="I182" s="11" t="s">
        <v>54</v>
      </c>
      <c r="J182" s="11" t="s">
        <v>605</v>
      </c>
      <c r="K182" s="17" t="n">
        <v>0.518</v>
      </c>
      <c r="L182" s="11" t="s">
        <v>31</v>
      </c>
    </row>
    <row r="183" customFormat="false" ht="24.75" hidden="false" customHeight="true" outlineLevel="0" collapsed="false">
      <c r="A183" s="10" t="n">
        <v>179</v>
      </c>
      <c r="B183" s="11" t="s">
        <v>25</v>
      </c>
      <c r="C183" s="11" t="s">
        <v>665</v>
      </c>
      <c r="D183" s="12" t="s">
        <v>681</v>
      </c>
      <c r="E183" s="11" t="s">
        <v>682</v>
      </c>
      <c r="F183" s="11" t="s">
        <v>683</v>
      </c>
      <c r="G183" s="10" t="s">
        <v>137</v>
      </c>
      <c r="H183" s="10" t="s">
        <v>14</v>
      </c>
      <c r="I183" s="11" t="s">
        <v>54</v>
      </c>
      <c r="J183" s="11" t="s">
        <v>684</v>
      </c>
      <c r="K183" s="17" t="n">
        <v>0.105</v>
      </c>
      <c r="L183" s="11" t="s">
        <v>31</v>
      </c>
    </row>
    <row r="184" customFormat="false" ht="24.75" hidden="false" customHeight="true" outlineLevel="0" collapsed="false">
      <c r="A184" s="10" t="n">
        <v>180</v>
      </c>
      <c r="B184" s="11" t="s">
        <v>25</v>
      </c>
      <c r="C184" s="11" t="s">
        <v>665</v>
      </c>
      <c r="D184" s="12" t="s">
        <v>685</v>
      </c>
      <c r="E184" s="11" t="s">
        <v>686</v>
      </c>
      <c r="F184" s="11" t="s">
        <v>687</v>
      </c>
      <c r="G184" s="10" t="s">
        <v>137</v>
      </c>
      <c r="H184" s="10" t="s">
        <v>14</v>
      </c>
      <c r="I184" s="11" t="s">
        <v>54</v>
      </c>
      <c r="J184" s="11" t="s">
        <v>688</v>
      </c>
      <c r="K184" s="17" t="n">
        <v>0.071</v>
      </c>
      <c r="L184" s="11" t="s">
        <v>31</v>
      </c>
    </row>
    <row r="185" customFormat="false" ht="18" hidden="false" customHeight="true" outlineLevel="0" collapsed="false">
      <c r="A185" s="10" t="n">
        <v>181</v>
      </c>
      <c r="B185" s="11" t="s">
        <v>25</v>
      </c>
      <c r="C185" s="11" t="s">
        <v>665</v>
      </c>
      <c r="D185" s="12" t="s">
        <v>689</v>
      </c>
      <c r="E185" s="11" t="s">
        <v>690</v>
      </c>
      <c r="F185" s="11" t="s">
        <v>691</v>
      </c>
      <c r="G185" s="10" t="s">
        <v>97</v>
      </c>
      <c r="H185" s="10" t="s">
        <v>8</v>
      </c>
      <c r="I185" s="11" t="s">
        <v>452</v>
      </c>
      <c r="J185" s="11" t="s">
        <v>510</v>
      </c>
      <c r="K185" s="15" t="n">
        <v>1236</v>
      </c>
      <c r="L185" s="11" t="s">
        <v>31</v>
      </c>
    </row>
    <row r="186" customFormat="false" ht="18" hidden="false" customHeight="true" outlineLevel="0" collapsed="false">
      <c r="A186" s="10" t="n">
        <v>182</v>
      </c>
      <c r="B186" s="11" t="s">
        <v>25</v>
      </c>
      <c r="C186" s="11" t="s">
        <v>665</v>
      </c>
      <c r="D186" s="12" t="s">
        <v>692</v>
      </c>
      <c r="E186" s="11" t="s">
        <v>693</v>
      </c>
      <c r="F186" s="11" t="s">
        <v>694</v>
      </c>
      <c r="G186" s="10" t="s">
        <v>97</v>
      </c>
      <c r="H186" s="10" t="s">
        <v>8</v>
      </c>
      <c r="I186" s="11" t="s">
        <v>452</v>
      </c>
      <c r="J186" s="11" t="s">
        <v>510</v>
      </c>
      <c r="K186" s="15" t="n">
        <v>781</v>
      </c>
      <c r="L186" s="11" t="s">
        <v>31</v>
      </c>
    </row>
    <row r="187" customFormat="false" ht="24.75" hidden="false" customHeight="true" outlineLevel="0" collapsed="false">
      <c r="A187" s="10" t="n">
        <v>183</v>
      </c>
      <c r="B187" s="11" t="s">
        <v>25</v>
      </c>
      <c r="C187" s="11" t="s">
        <v>665</v>
      </c>
      <c r="D187" s="12" t="s">
        <v>695</v>
      </c>
      <c r="E187" s="11" t="s">
        <v>696</v>
      </c>
      <c r="F187" s="11" t="s">
        <v>697</v>
      </c>
      <c r="G187" s="10" t="s">
        <v>137</v>
      </c>
      <c r="H187" s="10" t="s">
        <v>14</v>
      </c>
      <c r="I187" s="11"/>
      <c r="J187" s="11" t="s">
        <v>698</v>
      </c>
      <c r="K187" s="17" t="n">
        <v>-0.167</v>
      </c>
      <c r="L187" s="11" t="s">
        <v>31</v>
      </c>
    </row>
    <row r="188" customFormat="false" ht="62.25" hidden="false" customHeight="true" outlineLevel="0" collapsed="false">
      <c r="A188" s="10" t="n">
        <v>184</v>
      </c>
      <c r="B188" s="11" t="s">
        <v>25</v>
      </c>
      <c r="C188" s="11" t="s">
        <v>665</v>
      </c>
      <c r="D188" s="12" t="s">
        <v>699</v>
      </c>
      <c r="E188" s="11" t="s">
        <v>700</v>
      </c>
      <c r="F188" s="11" t="s">
        <v>701</v>
      </c>
      <c r="G188" s="10" t="s">
        <v>58</v>
      </c>
      <c r="H188" s="10" t="s">
        <v>20</v>
      </c>
      <c r="I188" s="11"/>
      <c r="J188" s="11" t="s">
        <v>702</v>
      </c>
      <c r="K188" s="13"/>
      <c r="L188" s="11" t="s">
        <v>31</v>
      </c>
    </row>
    <row r="189" customFormat="false" ht="24.75" hidden="false" customHeight="true" outlineLevel="0" collapsed="false">
      <c r="A189" s="10" t="n">
        <v>185</v>
      </c>
      <c r="B189" s="11" t="s">
        <v>25</v>
      </c>
      <c r="C189" s="11" t="s">
        <v>665</v>
      </c>
      <c r="D189" s="12" t="s">
        <v>703</v>
      </c>
      <c r="E189" s="11" t="s">
        <v>704</v>
      </c>
      <c r="F189" s="11" t="s">
        <v>705</v>
      </c>
      <c r="G189" s="10" t="s">
        <v>58</v>
      </c>
      <c r="H189" s="10" t="s">
        <v>20</v>
      </c>
      <c r="I189" s="11"/>
      <c r="J189" s="11" t="s">
        <v>706</v>
      </c>
      <c r="K189" s="13"/>
      <c r="L189" s="11" t="s">
        <v>31</v>
      </c>
    </row>
    <row r="190" customFormat="false" ht="24.75" hidden="false" customHeight="true" outlineLevel="0" collapsed="false">
      <c r="A190" s="10" t="n">
        <v>186</v>
      </c>
      <c r="B190" s="11" t="s">
        <v>25</v>
      </c>
      <c r="C190" s="11" t="s">
        <v>665</v>
      </c>
      <c r="D190" s="12" t="s">
        <v>707</v>
      </c>
      <c r="E190" s="11" t="s">
        <v>708</v>
      </c>
      <c r="F190" s="11" t="s">
        <v>709</v>
      </c>
      <c r="G190" s="10" t="s">
        <v>58</v>
      </c>
      <c r="H190" s="10" t="s">
        <v>20</v>
      </c>
      <c r="I190" s="11"/>
      <c r="J190" s="11" t="s">
        <v>710</v>
      </c>
      <c r="K190" s="13"/>
      <c r="L190" s="11" t="s">
        <v>31</v>
      </c>
    </row>
    <row r="191" customFormat="false" ht="49.5" hidden="false" customHeight="true" outlineLevel="0" collapsed="false">
      <c r="A191" s="10" t="n">
        <v>187</v>
      </c>
      <c r="B191" s="11" t="s">
        <v>25</v>
      </c>
      <c r="C191" s="11" t="s">
        <v>665</v>
      </c>
      <c r="D191" s="12" t="s">
        <v>711</v>
      </c>
      <c r="E191" s="11" t="s">
        <v>712</v>
      </c>
      <c r="F191" s="11" t="s">
        <v>713</v>
      </c>
      <c r="G191" s="10" t="s">
        <v>58</v>
      </c>
      <c r="H191" s="10" t="s">
        <v>20</v>
      </c>
      <c r="I191" s="11"/>
      <c r="J191" s="11" t="s">
        <v>714</v>
      </c>
      <c r="K191" s="13"/>
      <c r="L191" s="11" t="s">
        <v>31</v>
      </c>
    </row>
    <row r="192" customFormat="false" ht="24.75" hidden="false" customHeight="true" outlineLevel="0" collapsed="false">
      <c r="A192" s="10" t="n">
        <v>188</v>
      </c>
      <c r="B192" s="11" t="s">
        <v>25</v>
      </c>
      <c r="C192" s="11" t="s">
        <v>665</v>
      </c>
      <c r="D192" s="12" t="s">
        <v>715</v>
      </c>
      <c r="E192" s="11" t="s">
        <v>716</v>
      </c>
      <c r="F192" s="11" t="s">
        <v>717</v>
      </c>
      <c r="G192" s="10" t="s">
        <v>58</v>
      </c>
      <c r="H192" s="10" t="s">
        <v>20</v>
      </c>
      <c r="I192" s="11"/>
      <c r="J192" s="11" t="s">
        <v>678</v>
      </c>
      <c r="K192" s="13"/>
      <c r="L192" s="11" t="s">
        <v>31</v>
      </c>
    </row>
    <row r="193" customFormat="false" ht="24.75" hidden="false" customHeight="true" outlineLevel="0" collapsed="false">
      <c r="A193" s="10" t="n">
        <v>189</v>
      </c>
      <c r="B193" s="11" t="s">
        <v>25</v>
      </c>
      <c r="C193" s="11" t="s">
        <v>665</v>
      </c>
      <c r="D193" s="12" t="s">
        <v>718</v>
      </c>
      <c r="E193" s="11" t="s">
        <v>719</v>
      </c>
      <c r="F193" s="11" t="s">
        <v>720</v>
      </c>
      <c r="G193" s="10" t="s">
        <v>58</v>
      </c>
      <c r="H193" s="10" t="s">
        <v>20</v>
      </c>
      <c r="I193" s="11"/>
      <c r="J193" s="11" t="s">
        <v>721</v>
      </c>
      <c r="K193" s="13"/>
      <c r="L193" s="11" t="s">
        <v>31</v>
      </c>
    </row>
    <row r="194" customFormat="false" ht="37.5" hidden="false" customHeight="true" outlineLevel="0" collapsed="false">
      <c r="A194" s="10" t="n">
        <v>190</v>
      </c>
      <c r="B194" s="11" t="s">
        <v>25</v>
      </c>
      <c r="C194" s="11" t="s">
        <v>665</v>
      </c>
      <c r="D194" s="12" t="s">
        <v>722</v>
      </c>
      <c r="E194" s="11" t="s">
        <v>723</v>
      </c>
      <c r="F194" s="11" t="s">
        <v>724</v>
      </c>
      <c r="G194" s="10" t="s">
        <v>58</v>
      </c>
      <c r="H194" s="10" t="s">
        <v>20</v>
      </c>
      <c r="I194" s="11"/>
      <c r="J194" s="11" t="s">
        <v>725</v>
      </c>
      <c r="K194" s="13"/>
      <c r="L194" s="11" t="s">
        <v>31</v>
      </c>
    </row>
    <row r="195" customFormat="false" ht="18" hidden="false" customHeight="true" outlineLevel="0" collapsed="false">
      <c r="A195" s="10" t="n">
        <v>191</v>
      </c>
      <c r="B195" s="11" t="s">
        <v>25</v>
      </c>
      <c r="C195" s="11" t="s">
        <v>726</v>
      </c>
      <c r="D195" s="12" t="s">
        <v>727</v>
      </c>
      <c r="E195" s="11" t="s">
        <v>728</v>
      </c>
      <c r="F195" s="11" t="s">
        <v>729</v>
      </c>
      <c r="G195" s="10" t="s">
        <v>58</v>
      </c>
      <c r="H195" s="10" t="s">
        <v>20</v>
      </c>
      <c r="I195" s="11"/>
      <c r="J195" s="11" t="s">
        <v>63</v>
      </c>
      <c r="K195" s="13"/>
      <c r="L195" s="11" t="s">
        <v>32</v>
      </c>
    </row>
    <row r="196" customFormat="false" ht="18" hidden="false" customHeight="true" outlineLevel="0" collapsed="false">
      <c r="A196" s="10" t="n">
        <v>192</v>
      </c>
      <c r="B196" s="11" t="s">
        <v>25</v>
      </c>
      <c r="C196" s="11" t="s">
        <v>726</v>
      </c>
      <c r="D196" s="12" t="s">
        <v>730</v>
      </c>
      <c r="E196" s="11" t="s">
        <v>731</v>
      </c>
      <c r="F196" s="11" t="s">
        <v>732</v>
      </c>
      <c r="G196" s="10" t="s">
        <v>58</v>
      </c>
      <c r="H196" s="10" t="s">
        <v>20</v>
      </c>
      <c r="I196" s="11"/>
      <c r="J196" s="11" t="s">
        <v>733</v>
      </c>
      <c r="K196" s="13"/>
      <c r="L196" s="11" t="s">
        <v>32</v>
      </c>
    </row>
    <row r="197" customFormat="false" ht="18" hidden="false" customHeight="true" outlineLevel="0" collapsed="false">
      <c r="A197" s="10" t="n">
        <v>193</v>
      </c>
      <c r="B197" s="11" t="s">
        <v>25</v>
      </c>
      <c r="C197" s="11" t="s">
        <v>726</v>
      </c>
      <c r="D197" s="12" t="s">
        <v>734</v>
      </c>
      <c r="E197" s="11" t="s">
        <v>735</v>
      </c>
      <c r="F197" s="11" t="s">
        <v>736</v>
      </c>
      <c r="G197" s="10" t="s">
        <v>58</v>
      </c>
      <c r="H197" s="10" t="s">
        <v>20</v>
      </c>
      <c r="I197" s="11"/>
      <c r="J197" s="11" t="s">
        <v>309</v>
      </c>
      <c r="K197" s="13"/>
      <c r="L197" s="11" t="s">
        <v>32</v>
      </c>
    </row>
    <row r="198" customFormat="false" ht="49.5" hidden="false" customHeight="true" outlineLevel="0" collapsed="false">
      <c r="A198" s="10" t="n">
        <v>194</v>
      </c>
      <c r="B198" s="11" t="s">
        <v>25</v>
      </c>
      <c r="C198" s="11" t="s">
        <v>737</v>
      </c>
      <c r="D198" s="12" t="s">
        <v>733</v>
      </c>
      <c r="E198" s="11" t="s">
        <v>738</v>
      </c>
      <c r="F198" s="11" t="s">
        <v>739</v>
      </c>
      <c r="G198" s="10" t="s">
        <v>58</v>
      </c>
      <c r="H198" s="10" t="s">
        <v>20</v>
      </c>
      <c r="I198" s="11" t="s">
        <v>390</v>
      </c>
      <c r="J198" s="11" t="s">
        <v>108</v>
      </c>
      <c r="K198" s="13"/>
      <c r="L198" s="11" t="s">
        <v>32</v>
      </c>
    </row>
    <row r="199" customFormat="false" ht="37.5" hidden="false" customHeight="true" outlineLevel="0" collapsed="false">
      <c r="A199" s="10" t="n">
        <v>195</v>
      </c>
      <c r="B199" s="11" t="s">
        <v>25</v>
      </c>
      <c r="C199" s="11" t="s">
        <v>737</v>
      </c>
      <c r="D199" s="12" t="s">
        <v>740</v>
      </c>
      <c r="E199" s="11" t="s">
        <v>741</v>
      </c>
      <c r="F199" s="11" t="s">
        <v>742</v>
      </c>
      <c r="G199" s="10" t="s">
        <v>58</v>
      </c>
      <c r="H199" s="10" t="s">
        <v>20</v>
      </c>
      <c r="I199" s="11" t="s">
        <v>390</v>
      </c>
      <c r="J199" s="11" t="s">
        <v>108</v>
      </c>
      <c r="K199" s="13"/>
      <c r="L199" s="11" t="s">
        <v>32</v>
      </c>
    </row>
    <row r="200" customFormat="false" ht="37.5" hidden="false" customHeight="true" outlineLevel="0" collapsed="false">
      <c r="A200" s="10" t="n">
        <v>196</v>
      </c>
      <c r="B200" s="11" t="s">
        <v>25</v>
      </c>
      <c r="C200" s="11" t="s">
        <v>737</v>
      </c>
      <c r="D200" s="12" t="s">
        <v>743</v>
      </c>
      <c r="E200" s="11" t="s">
        <v>744</v>
      </c>
      <c r="F200" s="11" t="s">
        <v>745</v>
      </c>
      <c r="G200" s="10" t="s">
        <v>58</v>
      </c>
      <c r="H200" s="10" t="s">
        <v>20</v>
      </c>
      <c r="I200" s="11" t="s">
        <v>452</v>
      </c>
      <c r="J200" s="11" t="s">
        <v>108</v>
      </c>
      <c r="K200" s="13"/>
      <c r="L200" s="11" t="s">
        <v>32</v>
      </c>
    </row>
    <row r="201" customFormat="false" ht="37.5" hidden="false" customHeight="true" outlineLevel="0" collapsed="false">
      <c r="A201" s="10" t="n">
        <v>197</v>
      </c>
      <c r="B201" s="11" t="s">
        <v>25</v>
      </c>
      <c r="C201" s="11" t="s">
        <v>737</v>
      </c>
      <c r="D201" s="12" t="s">
        <v>746</v>
      </c>
      <c r="E201" s="11" t="s">
        <v>747</v>
      </c>
      <c r="F201" s="11" t="s">
        <v>748</v>
      </c>
      <c r="G201" s="10" t="s">
        <v>58</v>
      </c>
      <c r="H201" s="10" t="s">
        <v>20</v>
      </c>
      <c r="I201" s="11" t="s">
        <v>54</v>
      </c>
      <c r="J201" s="11" t="s">
        <v>108</v>
      </c>
      <c r="K201" s="13"/>
      <c r="L201" s="11" t="s">
        <v>32</v>
      </c>
    </row>
    <row r="202" customFormat="false" ht="49.5" hidden="false" customHeight="true" outlineLevel="0" collapsed="false">
      <c r="A202" s="10" t="n">
        <v>198</v>
      </c>
      <c r="B202" s="11" t="s">
        <v>25</v>
      </c>
      <c r="C202" s="11" t="s">
        <v>737</v>
      </c>
      <c r="D202" s="12" t="s">
        <v>749</v>
      </c>
      <c r="E202" s="11" t="s">
        <v>750</v>
      </c>
      <c r="F202" s="11" t="s">
        <v>751</v>
      </c>
      <c r="G202" s="10" t="s">
        <v>58</v>
      </c>
      <c r="H202" s="10" t="s">
        <v>20</v>
      </c>
      <c r="I202" s="11" t="s">
        <v>390</v>
      </c>
      <c r="J202" s="11" t="s">
        <v>134</v>
      </c>
      <c r="K202" s="13"/>
      <c r="L202" s="11" t="s">
        <v>32</v>
      </c>
    </row>
    <row r="203" customFormat="false" ht="49.5" hidden="false" customHeight="true" outlineLevel="0" collapsed="false">
      <c r="A203" s="10" t="n">
        <v>199</v>
      </c>
      <c r="B203" s="11" t="s">
        <v>25</v>
      </c>
      <c r="C203" s="11" t="s">
        <v>737</v>
      </c>
      <c r="D203" s="12" t="s">
        <v>752</v>
      </c>
      <c r="E203" s="11" t="s">
        <v>753</v>
      </c>
      <c r="F203" s="11" t="s">
        <v>754</v>
      </c>
      <c r="G203" s="10" t="s">
        <v>58</v>
      </c>
      <c r="H203" s="10" t="s">
        <v>20</v>
      </c>
      <c r="I203" s="11" t="s">
        <v>390</v>
      </c>
      <c r="J203" s="11" t="s">
        <v>134</v>
      </c>
      <c r="K203" s="13"/>
      <c r="L203" s="11" t="s">
        <v>32</v>
      </c>
    </row>
    <row r="204" customFormat="false" ht="49.5" hidden="false" customHeight="true" outlineLevel="0" collapsed="false">
      <c r="A204" s="10" t="n">
        <v>200</v>
      </c>
      <c r="B204" s="11" t="s">
        <v>25</v>
      </c>
      <c r="C204" s="11" t="s">
        <v>737</v>
      </c>
      <c r="D204" s="12" t="s">
        <v>755</v>
      </c>
      <c r="E204" s="11" t="s">
        <v>756</v>
      </c>
      <c r="F204" s="11" t="s">
        <v>757</v>
      </c>
      <c r="G204" s="10" t="s">
        <v>58</v>
      </c>
      <c r="H204" s="10" t="s">
        <v>20</v>
      </c>
      <c r="I204" s="11" t="s">
        <v>62</v>
      </c>
      <c r="J204" s="11" t="s">
        <v>108</v>
      </c>
      <c r="K204" s="13"/>
      <c r="L204" s="11" t="s">
        <v>32</v>
      </c>
    </row>
    <row r="205" customFormat="false" ht="112.5" hidden="false" customHeight="true" outlineLevel="0" collapsed="false">
      <c r="A205" s="10" t="n">
        <v>201</v>
      </c>
      <c r="B205" s="11" t="s">
        <v>26</v>
      </c>
      <c r="C205" s="11"/>
      <c r="D205" s="12" t="s">
        <v>758</v>
      </c>
      <c r="E205" s="11" t="s">
        <v>759</v>
      </c>
      <c r="F205" s="11" t="s">
        <v>760</v>
      </c>
      <c r="G205" s="10" t="s">
        <v>69</v>
      </c>
      <c r="H205" s="10" t="s">
        <v>10</v>
      </c>
      <c r="I205" s="11"/>
      <c r="J205" s="11" t="s">
        <v>761</v>
      </c>
      <c r="K205" s="13"/>
      <c r="L205" s="11" t="s">
        <v>32</v>
      </c>
    </row>
    <row r="206" customFormat="false" ht="18" hidden="false" customHeight="true" outlineLevel="0" collapsed="false">
      <c r="A206" s="10" t="n">
        <v>202</v>
      </c>
      <c r="B206" s="11" t="s">
        <v>26</v>
      </c>
      <c r="C206" s="11" t="s">
        <v>762</v>
      </c>
      <c r="D206" s="12" t="s">
        <v>763</v>
      </c>
      <c r="E206" s="11" t="s">
        <v>764</v>
      </c>
      <c r="F206" s="11" t="s">
        <v>765</v>
      </c>
      <c r="G206" s="10" t="s">
        <v>69</v>
      </c>
      <c r="H206" s="10" t="s">
        <v>10</v>
      </c>
      <c r="I206" s="11" t="s">
        <v>98</v>
      </c>
      <c r="J206" s="11"/>
      <c r="K206" s="13"/>
      <c r="L206" s="11" t="s">
        <v>32</v>
      </c>
    </row>
    <row r="207" customFormat="false" ht="18" hidden="false" customHeight="true" outlineLevel="0" collapsed="false">
      <c r="A207" s="10" t="n">
        <v>203</v>
      </c>
      <c r="B207" s="11" t="s">
        <v>26</v>
      </c>
      <c r="C207" s="11" t="s">
        <v>762</v>
      </c>
      <c r="D207" s="12" t="s">
        <v>766</v>
      </c>
      <c r="E207" s="11" t="s">
        <v>767</v>
      </c>
      <c r="F207" s="11" t="s">
        <v>768</v>
      </c>
      <c r="G207" s="10" t="s">
        <v>69</v>
      </c>
      <c r="H207" s="10" t="s">
        <v>10</v>
      </c>
      <c r="I207" s="11" t="s">
        <v>769</v>
      </c>
      <c r="J207" s="11"/>
      <c r="K207" s="13"/>
      <c r="L207" s="11" t="s">
        <v>32</v>
      </c>
    </row>
    <row r="208" customFormat="false" ht="24.75" hidden="false" customHeight="true" outlineLevel="0" collapsed="false">
      <c r="A208" s="10" t="n">
        <v>204</v>
      </c>
      <c r="B208" s="11" t="s">
        <v>26</v>
      </c>
      <c r="C208" s="11" t="s">
        <v>762</v>
      </c>
      <c r="D208" s="12" t="s">
        <v>770</v>
      </c>
      <c r="E208" s="11" t="s">
        <v>771</v>
      </c>
      <c r="F208" s="11" t="s">
        <v>772</v>
      </c>
      <c r="G208" s="10" t="s">
        <v>69</v>
      </c>
      <c r="H208" s="10" t="s">
        <v>10</v>
      </c>
      <c r="I208" s="11" t="s">
        <v>773</v>
      </c>
      <c r="J208" s="11"/>
      <c r="K208" s="13"/>
      <c r="L208" s="11" t="s">
        <v>32</v>
      </c>
    </row>
    <row r="209" customFormat="false" ht="24.75" hidden="false" customHeight="true" outlineLevel="0" collapsed="false">
      <c r="A209" s="10" t="n">
        <v>205</v>
      </c>
      <c r="B209" s="11" t="s">
        <v>26</v>
      </c>
      <c r="C209" s="11" t="s">
        <v>762</v>
      </c>
      <c r="D209" s="12" t="s">
        <v>774</v>
      </c>
      <c r="E209" s="11" t="s">
        <v>775</v>
      </c>
      <c r="F209" s="11" t="s">
        <v>776</v>
      </c>
      <c r="G209" s="10" t="s">
        <v>69</v>
      </c>
      <c r="H209" s="10" t="s">
        <v>10</v>
      </c>
      <c r="I209" s="11" t="s">
        <v>777</v>
      </c>
      <c r="J209" s="11"/>
      <c r="K209" s="13"/>
      <c r="L209" s="11" t="s">
        <v>32</v>
      </c>
    </row>
    <row r="210" customFormat="false" ht="24.75" hidden="false" customHeight="true" outlineLevel="0" collapsed="false">
      <c r="A210" s="10" t="n">
        <v>206</v>
      </c>
      <c r="B210" s="11" t="s">
        <v>26</v>
      </c>
      <c r="C210" s="11" t="s">
        <v>762</v>
      </c>
      <c r="D210" s="12" t="s">
        <v>778</v>
      </c>
      <c r="E210" s="11" t="s">
        <v>779</v>
      </c>
      <c r="F210" s="11" t="s">
        <v>780</v>
      </c>
      <c r="G210" s="10" t="s">
        <v>69</v>
      </c>
      <c r="H210" s="10" t="s">
        <v>10</v>
      </c>
      <c r="I210" s="11" t="s">
        <v>154</v>
      </c>
      <c r="J210" s="11"/>
      <c r="K210" s="13"/>
      <c r="L210" s="11" t="s">
        <v>32</v>
      </c>
    </row>
    <row r="211" customFormat="false" ht="150" hidden="false" customHeight="true" outlineLevel="0" collapsed="false">
      <c r="A211" s="10" t="n">
        <v>207</v>
      </c>
      <c r="B211" s="11" t="s">
        <v>26</v>
      </c>
      <c r="C211" s="11" t="s">
        <v>781</v>
      </c>
      <c r="D211" s="12" t="s">
        <v>782</v>
      </c>
      <c r="E211" s="11" t="s">
        <v>783</v>
      </c>
      <c r="F211" s="11" t="s">
        <v>784</v>
      </c>
      <c r="G211" s="10" t="s">
        <v>69</v>
      </c>
      <c r="H211" s="10" t="s">
        <v>10</v>
      </c>
      <c r="I211" s="11" t="s">
        <v>154</v>
      </c>
      <c r="J211" s="11"/>
      <c r="K211" s="13"/>
      <c r="L211" s="11" t="s">
        <v>32</v>
      </c>
    </row>
    <row r="212" customFormat="false" ht="18" hidden="false" customHeight="true" outlineLevel="0" collapsed="false">
      <c r="A212" s="10" t="n">
        <v>208</v>
      </c>
      <c r="B212" s="11" t="s">
        <v>26</v>
      </c>
      <c r="C212" s="11" t="s">
        <v>785</v>
      </c>
      <c r="D212" s="12" t="s">
        <v>786</v>
      </c>
      <c r="E212" s="11" t="s">
        <v>787</v>
      </c>
      <c r="F212" s="11" t="s">
        <v>788</v>
      </c>
      <c r="G212" s="10" t="s">
        <v>789</v>
      </c>
      <c r="H212" s="10" t="s">
        <v>12</v>
      </c>
      <c r="I212" s="11" t="s">
        <v>769</v>
      </c>
      <c r="J212" s="11"/>
      <c r="K212" s="13"/>
      <c r="L212" s="11" t="s">
        <v>32</v>
      </c>
    </row>
    <row r="213" customFormat="false" ht="18" hidden="false" customHeight="true" outlineLevel="0" collapsed="false">
      <c r="A213" s="10" t="n">
        <v>209</v>
      </c>
      <c r="B213" s="11" t="s">
        <v>26</v>
      </c>
      <c r="C213" s="11" t="s">
        <v>785</v>
      </c>
      <c r="D213" s="12" t="s">
        <v>790</v>
      </c>
      <c r="E213" s="11" t="s">
        <v>791</v>
      </c>
      <c r="F213" s="11" t="s">
        <v>792</v>
      </c>
      <c r="G213" s="10" t="s">
        <v>69</v>
      </c>
      <c r="H213" s="10" t="s">
        <v>10</v>
      </c>
      <c r="I213" s="11" t="s">
        <v>769</v>
      </c>
      <c r="J213" s="11"/>
      <c r="K213" s="13"/>
      <c r="L213" s="11" t="s">
        <v>32</v>
      </c>
    </row>
    <row r="214" customFormat="false" ht="18" hidden="false" customHeight="true" outlineLevel="0" collapsed="false">
      <c r="A214" s="10" t="n">
        <v>210</v>
      </c>
      <c r="B214" s="11" t="s">
        <v>26</v>
      </c>
      <c r="C214" s="11" t="s">
        <v>785</v>
      </c>
      <c r="D214" s="12" t="s">
        <v>793</v>
      </c>
      <c r="E214" s="11" t="s">
        <v>794</v>
      </c>
      <c r="F214" s="11" t="s">
        <v>795</v>
      </c>
      <c r="G214" s="10" t="s">
        <v>789</v>
      </c>
      <c r="H214" s="10" t="s">
        <v>12</v>
      </c>
      <c r="I214" s="11" t="s">
        <v>769</v>
      </c>
      <c r="J214" s="11"/>
      <c r="K214" s="13"/>
      <c r="L214" s="11" t="s">
        <v>32</v>
      </c>
    </row>
    <row r="216" customFormat="false" ht="15" hidden="false" customHeight="false" outlineLevel="0" collapsed="false">
      <c r="A216" s="8" t="s">
        <v>796</v>
      </c>
    </row>
  </sheetData>
  <autoFilter ref="A4:L21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797</v>
      </c>
    </row>
    <row r="2" customFormat="false" ht="15" hidden="false" customHeight="false" outlineLevel="0" collapsed="false">
      <c r="A2" s="2" t="s">
        <v>798</v>
      </c>
    </row>
    <row r="4" customFormat="false" ht="15" hidden="false" customHeight="false" outlineLevel="0" collapsed="false">
      <c r="A4" s="9" t="s">
        <v>799</v>
      </c>
    </row>
    <row r="5" customFormat="false" ht="27.75" hidden="false" customHeight="true" outlineLevel="0" collapsed="false">
      <c r="A5" s="5" t="s">
        <v>800</v>
      </c>
      <c r="B5" s="5" t="s">
        <v>801</v>
      </c>
      <c r="C5" s="5" t="s">
        <v>802</v>
      </c>
      <c r="D5" s="5" t="s">
        <v>803</v>
      </c>
    </row>
    <row r="6" customFormat="false" ht="27.75" hidden="false" customHeight="true" outlineLevel="0" collapsed="false">
      <c r="A6" s="12" t="s">
        <v>62</v>
      </c>
      <c r="B6" s="11" t="s">
        <v>804</v>
      </c>
      <c r="C6" s="11" t="s">
        <v>805</v>
      </c>
      <c r="D6" s="11" t="s">
        <v>806</v>
      </c>
    </row>
    <row r="7" customFormat="false" ht="27.75" hidden="false" customHeight="true" outlineLevel="0" collapsed="false">
      <c r="A7" s="12" t="s">
        <v>452</v>
      </c>
      <c r="B7" s="11" t="s">
        <v>807</v>
      </c>
      <c r="C7" s="11" t="s">
        <v>808</v>
      </c>
      <c r="D7" s="11" t="s">
        <v>809</v>
      </c>
    </row>
    <row r="8" customFormat="false" ht="27.75" hidden="false" customHeight="true" outlineLevel="0" collapsed="false">
      <c r="A8" s="12" t="s">
        <v>54</v>
      </c>
      <c r="B8" s="11" t="s">
        <v>810</v>
      </c>
      <c r="C8" s="11" t="s">
        <v>811</v>
      </c>
      <c r="D8" s="11" t="s">
        <v>812</v>
      </c>
    </row>
    <row r="9" customFormat="false" ht="27.75" hidden="false" customHeight="true" outlineLevel="0" collapsed="false">
      <c r="A9" s="12" t="s">
        <v>154</v>
      </c>
      <c r="B9" s="11" t="s">
        <v>813</v>
      </c>
      <c r="C9" s="11" t="s">
        <v>814</v>
      </c>
      <c r="D9" s="11" t="s">
        <v>815</v>
      </c>
    </row>
    <row r="10" customFormat="false" ht="27.75" hidden="false" customHeight="true" outlineLevel="0" collapsed="false">
      <c r="A10" s="12" t="s">
        <v>390</v>
      </c>
      <c r="B10" s="11" t="s">
        <v>816</v>
      </c>
      <c r="C10" s="11" t="s">
        <v>817</v>
      </c>
      <c r="D10" s="11" t="s">
        <v>818</v>
      </c>
    </row>
    <row r="11" customFormat="false" ht="27.75" hidden="false" customHeight="true" outlineLevel="0" collapsed="false">
      <c r="A11" s="12" t="s">
        <v>819</v>
      </c>
      <c r="B11" s="11" t="s">
        <v>820</v>
      </c>
      <c r="C11" s="11" t="s">
        <v>821</v>
      </c>
      <c r="D11" s="11" t="s">
        <v>822</v>
      </c>
    </row>
    <row r="13" customFormat="false" ht="15" hidden="false" customHeight="false" outlineLevel="0" collapsed="false">
      <c r="A13" s="9" t="s">
        <v>823</v>
      </c>
    </row>
    <row r="14" customFormat="false" ht="27.75" hidden="false" customHeight="true" outlineLevel="0" collapsed="false">
      <c r="A14" s="5" t="s">
        <v>824</v>
      </c>
      <c r="B14" s="5" t="s">
        <v>825</v>
      </c>
      <c r="C14" s="5" t="s">
        <v>826</v>
      </c>
    </row>
    <row r="15" customFormat="false" ht="15" hidden="false" customHeight="false" outlineLevel="0" collapsed="false">
      <c r="A15" s="11" t="s">
        <v>827</v>
      </c>
      <c r="B15" s="11" t="s">
        <v>828</v>
      </c>
      <c r="C15" s="11" t="s">
        <v>829</v>
      </c>
    </row>
    <row r="16" customFormat="false" ht="15" hidden="false" customHeight="false" outlineLevel="0" collapsed="false">
      <c r="A16" s="11" t="s">
        <v>830</v>
      </c>
      <c r="B16" s="11" t="s">
        <v>831</v>
      </c>
      <c r="C16" s="11" t="s">
        <v>832</v>
      </c>
    </row>
    <row r="17" customFormat="false" ht="15" hidden="false" customHeight="false" outlineLevel="0" collapsed="false">
      <c r="A17" s="11" t="s">
        <v>833</v>
      </c>
      <c r="B17" s="11" t="s">
        <v>834</v>
      </c>
      <c r="C17" s="11" t="s">
        <v>835</v>
      </c>
    </row>
    <row r="18" customFormat="false" ht="15" hidden="false" customHeight="false" outlineLevel="0" collapsed="false">
      <c r="A18" s="11" t="s">
        <v>836</v>
      </c>
      <c r="B18" s="11" t="s">
        <v>837</v>
      </c>
      <c r="C18" s="11" t="s">
        <v>838</v>
      </c>
    </row>
    <row r="20" customFormat="false" ht="15" hidden="false" customHeight="false" outlineLevel="0" collapsed="false">
      <c r="A20" s="9" t="s">
        <v>839</v>
      </c>
    </row>
    <row r="21" customFormat="false" ht="27.75" hidden="false" customHeight="true" outlineLevel="0" collapsed="false">
      <c r="A21" s="5" t="s">
        <v>840</v>
      </c>
      <c r="B21" s="5" t="s">
        <v>841</v>
      </c>
      <c r="C21" s="5"/>
      <c r="D21" s="5"/>
    </row>
    <row r="22" customFormat="false" ht="27.75" hidden="false" customHeight="true" outlineLevel="0" collapsed="false">
      <c r="A22" s="12" t="s">
        <v>842</v>
      </c>
      <c r="B22" s="11" t="s">
        <v>843</v>
      </c>
      <c r="C22" s="11"/>
      <c r="D22" s="11"/>
    </row>
    <row r="23" customFormat="false" ht="13.5" hidden="false" customHeight="true" outlineLevel="0" collapsed="false">
      <c r="A23" s="12" t="s">
        <v>108</v>
      </c>
      <c r="B23" s="11" t="s">
        <v>844</v>
      </c>
      <c r="C23" s="11"/>
      <c r="D23" s="11"/>
    </row>
    <row r="24" customFormat="false" ht="13.5" hidden="false" customHeight="true" outlineLevel="0" collapsed="false">
      <c r="A24" s="12" t="s">
        <v>114</v>
      </c>
      <c r="B24" s="11" t="s">
        <v>845</v>
      </c>
      <c r="C24" s="11"/>
      <c r="D24" s="11"/>
    </row>
    <row r="25" customFormat="false" ht="13.5" hidden="false" customHeight="true" outlineLevel="0" collapsed="false">
      <c r="A25" s="12" t="s">
        <v>134</v>
      </c>
      <c r="B25" s="11" t="s">
        <v>846</v>
      </c>
      <c r="C25" s="11"/>
      <c r="D25" s="11"/>
    </row>
    <row r="26" customFormat="false" ht="13.5" hidden="false" customHeight="true" outlineLevel="0" collapsed="false">
      <c r="A26" s="12" t="s">
        <v>139</v>
      </c>
      <c r="B26" s="11" t="s">
        <v>847</v>
      </c>
      <c r="C26" s="11"/>
      <c r="D26" s="11"/>
    </row>
    <row r="27" customFormat="false" ht="27.75" hidden="false" customHeight="true" outlineLevel="0" collapsed="false">
      <c r="A27" s="12" t="s">
        <v>848</v>
      </c>
      <c r="B27" s="11" t="s">
        <v>849</v>
      </c>
      <c r="C27" s="11"/>
      <c r="D27" s="11"/>
    </row>
    <row r="28" customFormat="false" ht="27.75" hidden="false" customHeight="true" outlineLevel="0" collapsed="false">
      <c r="A28" s="12" t="s">
        <v>850</v>
      </c>
      <c r="B28" s="11" t="s">
        <v>851</v>
      </c>
      <c r="C28" s="11"/>
      <c r="D28" s="11"/>
    </row>
    <row r="29" customFormat="false" ht="27.75" hidden="false" customHeight="true" outlineLevel="0" collapsed="false">
      <c r="A29" s="12" t="s">
        <v>852</v>
      </c>
      <c r="B29" s="11" t="s">
        <v>853</v>
      </c>
      <c r="C29" s="11"/>
      <c r="D29" s="11"/>
    </row>
    <row r="30" customFormat="false" ht="13.5" hidden="false" customHeight="true" outlineLevel="0" collapsed="false">
      <c r="A30" s="12" t="s">
        <v>8</v>
      </c>
      <c r="B30" s="11" t="s">
        <v>854</v>
      </c>
      <c r="C30" s="11"/>
      <c r="D30" s="11"/>
    </row>
    <row r="31" customFormat="false" ht="27.75" hidden="false" customHeight="true" outlineLevel="0" collapsed="false">
      <c r="A31" s="12" t="s">
        <v>855</v>
      </c>
      <c r="B31" s="11" t="s">
        <v>856</v>
      </c>
      <c r="C31" s="11"/>
      <c r="D31" s="11"/>
    </row>
    <row r="33" customFormat="false" ht="15" hidden="false" customHeight="false" outlineLevel="0" collapsed="false">
      <c r="A33" s="9" t="s">
        <v>857</v>
      </c>
    </row>
    <row r="34" customFormat="false" ht="27.75" hidden="false" customHeight="true" outlineLevel="0" collapsed="false">
      <c r="A34" s="5" t="s">
        <v>858</v>
      </c>
      <c r="B34" s="5" t="s">
        <v>859</v>
      </c>
      <c r="C34" s="5" t="s">
        <v>826</v>
      </c>
      <c r="D34" s="5" t="s">
        <v>860</v>
      </c>
    </row>
    <row r="35" customFormat="false" ht="27.75" hidden="false" customHeight="true" outlineLevel="0" collapsed="false">
      <c r="A35" s="12" t="s">
        <v>861</v>
      </c>
      <c r="B35" s="11" t="s">
        <v>862</v>
      </c>
      <c r="C35" s="11" t="s">
        <v>863</v>
      </c>
      <c r="D35" s="11" t="s">
        <v>864</v>
      </c>
    </row>
    <row r="36" customFormat="false" ht="27.75" hidden="false" customHeight="true" outlineLevel="0" collapsed="false">
      <c r="A36" s="12" t="s">
        <v>865</v>
      </c>
      <c r="B36" s="11" t="s">
        <v>866</v>
      </c>
      <c r="C36" s="11" t="s">
        <v>867</v>
      </c>
      <c r="D36" s="11" t="s">
        <v>864</v>
      </c>
    </row>
    <row r="37" customFormat="false" ht="69.75" hidden="false" customHeight="true" outlineLevel="0" collapsed="false">
      <c r="A37" s="12" t="s">
        <v>868</v>
      </c>
      <c r="B37" s="11" t="s">
        <v>869</v>
      </c>
      <c r="C37" s="11" t="s">
        <v>870</v>
      </c>
      <c r="D37" s="11" t="s">
        <v>871</v>
      </c>
    </row>
    <row r="38" customFormat="false" ht="27.75" hidden="false" customHeight="true" outlineLevel="0" collapsed="false">
      <c r="A38" s="12" t="s">
        <v>872</v>
      </c>
      <c r="B38" s="11" t="s">
        <v>873</v>
      </c>
      <c r="C38" s="11" t="s">
        <v>874</v>
      </c>
      <c r="D38" s="11" t="s">
        <v>871</v>
      </c>
    </row>
    <row r="39" customFormat="false" ht="27.75" hidden="false" customHeight="true" outlineLevel="0" collapsed="false">
      <c r="A39" s="12" t="s">
        <v>875</v>
      </c>
      <c r="B39" s="11" t="s">
        <v>876</v>
      </c>
      <c r="C39" s="11" t="s">
        <v>877</v>
      </c>
      <c r="D39" s="11" t="s">
        <v>878</v>
      </c>
    </row>
    <row r="40" customFormat="false" ht="27.75" hidden="false" customHeight="true" outlineLevel="0" collapsed="false">
      <c r="A40" s="12" t="s">
        <v>879</v>
      </c>
      <c r="B40" s="11" t="s">
        <v>880</v>
      </c>
      <c r="C40" s="11" t="s">
        <v>881</v>
      </c>
      <c r="D40" s="11" t="s">
        <v>878</v>
      </c>
    </row>
  </sheetData>
  <mergeCells count="11"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2026-10-29T08:41:50Z</dcterms:created>
  <dc:creator>openpyxl</dc:creator>
  <dc:description/>
  <dc:language>en-US</dc:language>
  <cp:lastModifiedBy/>
  <dcterms:modified xsi:type="dcterms:W3CDTF">2026-10-29T08:41:50Z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